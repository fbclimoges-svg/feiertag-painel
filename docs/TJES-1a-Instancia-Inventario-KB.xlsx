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Inventário Completo" sheetId="1" state="visible" r:id="rId3"/>
    <sheet name="2. Prioridades Críticas" sheetId="2" state="visible" r:id="rId4"/>
    <sheet name="3. Cross-Ref KB" sheetId="3" state="visible" r:id="rId5"/>
    <sheet name="4. Resumo por Entidade" sheetId="4" state="visible" r:id="rId6"/>
    <sheet name="5. Resumo por Comarca" sheetId="5" state="visible" r:id="rId7"/>
    <sheet name="6. Legenda &amp; Metodologia" sheetId="6" state="visible" r:id="rId8"/>
  </sheets>
  <definedNames>
    <definedName function="false" hidden="true" localSheetId="0" name="_xlnm._FilterDatabase" vbProcedure="false">'1. Inventário Completo'!$A$1:$N$58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<sst xmlns="http://schemas.openxmlformats.org/spreadsheetml/2006/main" count="840" uniqueCount="493">
  <si>
    <t xml:space="preserve">#</t>
  </si>
  <si>
    <t xml:space="preserve">Processo</t>
  </si>
  <si>
    <t xml:space="preserve">Comarca</t>
  </si>
  <si>
    <t xml:space="preserve">Tipo de Ação</t>
  </si>
  <si>
    <t xml:space="preserve">Polo do Grupo</t>
  </si>
  <si>
    <t xml:space="preserve">Contraparte</t>
  </si>
  <si>
    <t xml:space="preserve">Entidade(s) Feiertag</t>
  </si>
  <si>
    <t xml:space="preserve">Valor Histórico (R$)</t>
  </si>
  <si>
    <t xml:space="preserve">Valor Atual / Exposição (R$)</t>
  </si>
  <si>
    <t xml:space="preserve">Status / Fase</t>
  </si>
  <si>
    <t xml:space="preserve">Prioridade</t>
  </si>
  <si>
    <t xml:space="preserve">Risco / Oportunidade</t>
  </si>
  <si>
    <t xml:space="preserve">Cross-Ref KB</t>
  </si>
  <si>
    <t xml:space="preserve">Observações</t>
  </si>
  <si>
    <t xml:space="preserve">0000887-81.2020.8.08.0002</t>
  </si>
  <si>
    <t xml:space="preserve">Alegre / 1ª Vara</t>
  </si>
  <si>
    <t xml:space="preserve">Ação declaratória inexistência débitos + indenização</t>
  </si>
  <si>
    <t xml:space="preserve">Ativo (perdeu)</t>
  </si>
  <si>
    <t xml:space="preserve">Black Brazil Mineração</t>
  </si>
  <si>
    <t xml:space="preserve">Granbrasil</t>
  </si>
  <si>
    <t xml:space="preserve">Cumprimento honorários sucumbência (devedor)</t>
  </si>
  <si>
    <t xml:space="preserve">Baixa</t>
  </si>
  <si>
    <t xml:space="preserve">Risco baixo — pagar honorários</t>
  </si>
  <si>
    <t xml:space="preserve">+ Novo</t>
  </si>
  <si>
    <t xml:space="preserve">Granbrasil derrotada; honorários R$ 2.229,73</t>
  </si>
  <si>
    <t xml:space="preserve">0000902-79.2022.8.08.0002</t>
  </si>
  <si>
    <t xml:space="preserve">Inquérito policial — homicídio culposo</t>
  </si>
  <si>
    <t xml:space="preserve">Passivo (réu)</t>
  </si>
  <si>
    <t xml:space="preserve">MP/ES (vítima Sebastião Machado)</t>
  </si>
  <si>
    <t xml:space="preserve">Roland</t>
  </si>
  <si>
    <t xml:space="preserve">ARQUIVADO por sentença (art. 18 CPP)</t>
  </si>
  <si>
    <t xml:space="preserve">Encerrada</t>
  </si>
  <si>
    <t xml:space="preserve">Encerrado mas reabertura possível</t>
  </si>
  <si>
    <t xml:space="preserve">Sem indícios de autoria/materialidade</t>
  </si>
  <si>
    <t xml:space="preserve">0000860-98.2020.8.08.0002</t>
  </si>
  <si>
    <t xml:space="preserve">Reintegração de posse</t>
  </si>
  <si>
    <t xml:space="preserve">Ativo</t>
  </si>
  <si>
    <t xml:space="preserve">Cimar Pereira Inacio</t>
  </si>
  <si>
    <t xml:space="preserve">Concluso para sentença (após AIJ)</t>
  </si>
  <si>
    <t xml:space="preserve">Média</t>
  </si>
  <si>
    <t xml:space="preserve">Liminar favorável; aguardando sentença</t>
  </si>
  <si>
    <t xml:space="preserve">Alegações finais já apresentadas</t>
  </si>
  <si>
    <t xml:space="preserve">0000282-82.2013.8.08.0002</t>
  </si>
  <si>
    <t xml:space="preserve">Obrigação de fazer</t>
  </si>
  <si>
    <t xml:space="preserve">Fox Mineração Ltda</t>
  </si>
  <si>
    <t xml:space="preserve">Braminex Mineração</t>
  </si>
  <si>
    <t xml:space="preserve">Perícia realizada; perito não esclareceu</t>
  </si>
  <si>
    <t xml:space="preserve">Reiterar pedido esclarecimentos</t>
  </si>
  <si>
    <t xml:space="preserve">Vamos peticionar nova intimação</t>
  </si>
  <si>
    <t xml:space="preserve">5000014-59.2021.8.08.0002</t>
  </si>
  <si>
    <t xml:space="preserve">Reintegração / manutenção de posse</t>
  </si>
  <si>
    <t xml:space="preserve">Everaldo e Evaldo Coelho de Moraes</t>
  </si>
  <si>
    <t xml:space="preserve">Liminar deferida; falta citar Evaldo (RJ)</t>
  </si>
  <si>
    <t xml:space="preserve">SISBAJUD/RENAJUD/INFOJUD ou edital</t>
  </si>
  <si>
    <t xml:space="preserve">Estrada vicinal interna ao imóvel</t>
  </si>
  <si>
    <t xml:space="preserve">0000556-36.2019.8.08.0002</t>
  </si>
  <si>
    <t xml:space="preserve">Preceito cominatório (não-fazer)</t>
  </si>
  <si>
    <t xml:space="preserve">Cumprimento de honorários</t>
  </si>
  <si>
    <t xml:space="preserve">Recebimento honorários</t>
  </si>
  <si>
    <t xml:space="preserve">0029204-97.1999.8.08.0011</t>
  </si>
  <si>
    <t xml:space="preserve">Cachoeiro de Itapemirim</t>
  </si>
  <si>
    <t xml:space="preserve">Indenização — cumprimento de sentença</t>
  </si>
  <si>
    <t xml:space="preserve">Passivo</t>
  </si>
  <si>
    <t xml:space="preserve">Josias Rosa Gonçalves</t>
  </si>
  <si>
    <t xml:space="preserve">Braminex / Roland / Roberto Boghi Louzada / Roland Jr / Granitos Sul</t>
  </si>
  <si>
    <t xml:space="preserve">Pediu penhora no rosto do BB (5009375-39)</t>
  </si>
  <si>
    <t xml:space="preserve">Alta</t>
  </si>
  <si>
    <t xml:space="preserve">RISCO: penhora atinge crédito BB R$254M</t>
  </si>
  <si>
    <t xml:space="preserve">± Parcial</t>
  </si>
  <si>
    <t xml:space="preserve">Compete com IKK pela mesma garantia</t>
  </si>
  <si>
    <t xml:space="preserve">0002593-63.2006.8.08.0011</t>
  </si>
  <si>
    <t xml:space="preserve">Washington José Miranda Dorigheto</t>
  </si>
  <si>
    <t xml:space="preserve">Braminex Min / Trianon / Granbrasil / Mibral</t>
  </si>
  <si>
    <t xml:space="preserve">Bem ofertado em Jaciguá não localizado; exequente quer prosseguir</t>
  </si>
  <si>
    <t xml:space="preserve">CRÍTICA</t>
  </si>
  <si>
    <t xml:space="preserve">RISCO: bens da SEDE penhorados — leilão possível</t>
  </si>
  <si>
    <t xml:space="preserve">Audiência 03/10/2025; petição pendente sobre limites do título</t>
  </si>
  <si>
    <t xml:space="preserve">0041714-06.2003.8.08.0011</t>
  </si>
  <si>
    <t xml:space="preserve">Louzada — cumprimento de sentença</t>
  </si>
  <si>
    <t xml:space="preserve">Louzada Assessoria e Marketing S/C</t>
  </si>
  <si>
    <t xml:space="preserve">Braminex Min / Trianon / Granbrasil / Mibral + 21 outras</t>
  </si>
  <si>
    <t xml:space="preserve">Leilão SEDE Braminex marcado 30/06/2026 — SUSPENSO p/ nova avaliação</t>
  </si>
  <si>
    <t xml:space="preserve">LEILÃO IMINENTE — Trevo BNH; juiz designou novo perito</t>
  </si>
  <si>
    <t xml:space="preserve">✓ Já no KB</t>
  </si>
  <si>
    <t xml:space="preserve">KB: confronta R$70M trabalhista vs R$32,2M La Roca</t>
  </si>
  <si>
    <t xml:space="preserve">5009375-39.2022.8.08.0011</t>
  </si>
  <si>
    <t xml:space="preserve">Ação revisional — liquidação de sentença</t>
  </si>
  <si>
    <t xml:space="preserve">Ativo (credor)</t>
  </si>
  <si>
    <t xml:space="preserve">Banco do Brasil</t>
  </si>
  <si>
    <t xml:space="preserve">Braminex Exp / Braminex Min / Roma / Minacor / Roland</t>
  </si>
  <si>
    <t xml:space="preserve">Perícia em curso; assistente técnico Vaner</t>
  </si>
  <si>
    <t xml:space="preserve">ATIVO ESTRATÉGICO — múltiplas penhoras no rosto</t>
  </si>
  <si>
    <t xml:space="preserve">KB: posicionado para precatório swap; alvo de credores</t>
  </si>
  <si>
    <t xml:space="preserve">5006254-37.2021.8.08.0011</t>
  </si>
  <si>
    <t xml:space="preserve">Execução título extrajudicial</t>
  </si>
  <si>
    <t xml:space="preserve">Vagner Pereira de Souza – ME</t>
  </si>
  <si>
    <t xml:space="preserve">Buscando bens para penhora</t>
  </si>
  <si>
    <t xml:space="preserve">Recuperação de crédito pequeno</t>
  </si>
  <si>
    <t xml:space="preserve">Devedor recorrente — 4 processos vinculados</t>
  </si>
  <si>
    <t xml:space="preserve">5006236-16.2021.8.08.0011</t>
  </si>
  <si>
    <t xml:space="preserve">Mesmo devedor — Vagner</t>
  </si>
  <si>
    <t xml:space="preserve">Considerar consolidar com Hilux ODT-4H46</t>
  </si>
  <si>
    <t xml:space="preserve">5005910-22.2022.8.08.0011</t>
  </si>
  <si>
    <t xml:space="preserve">Penhora/arresto Hilux ODT-4H46 deferido</t>
  </si>
  <si>
    <t xml:space="preserve">RENAJUD lançado — aguardando mandado</t>
  </si>
  <si>
    <t xml:space="preserve">5006237-98.2021.8.08.0021</t>
  </si>
  <si>
    <t xml:space="preserve">Pedirá penhora Hilux ODT-4H46</t>
  </si>
  <si>
    <t xml:space="preserve">Vincular ao 5005910 (mesmo veículo)</t>
  </si>
  <si>
    <t xml:space="preserve">5006215-40.2021.8.08.0011</t>
  </si>
  <si>
    <t xml:space="preserve">4º processo contra Vagner — consolidar</t>
  </si>
  <si>
    <t xml:space="preserve">5006553-09.2024.8.08.0011</t>
  </si>
  <si>
    <t xml:space="preserve">Indenização</t>
  </si>
  <si>
    <t xml:space="preserve">M.G.B. Mármores e Granitos do Brasil</t>
  </si>
  <si>
    <t xml:space="preserve">Advogado réu renunciou; aguardando saneador e AIJ</t>
  </si>
  <si>
    <t xml:space="preserve">Prosseguir prova testemunhal</t>
  </si>
  <si>
    <t xml:space="preserve">5015563-14.2023.8.08.0011</t>
  </si>
  <si>
    <t xml:space="preserve">Inquérito policial</t>
  </si>
  <si>
    <t xml:space="preserve">MP/ES — Rudson Adami denunciado</t>
  </si>
  <si>
    <t xml:space="preserve">Roland / Rogério (arquivado)</t>
  </si>
  <si>
    <t xml:space="preserve">Arquivado p/ Roland e Rogério</t>
  </si>
  <si>
    <t xml:space="preserve">Defesa preventiva</t>
  </si>
  <si>
    <t xml:space="preserve">Apenas Rudson Adami denunciado</t>
  </si>
  <si>
    <t xml:space="preserve">0006460-10.2019.8.08.0011</t>
  </si>
  <si>
    <t xml:space="preserve">Execução de quantia certa</t>
  </si>
  <si>
    <t xml:space="preserve">MP/ES</t>
  </si>
  <si>
    <t xml:space="preserve">TAC firmado; aguardando execução do PRAD</t>
  </si>
  <si>
    <t xml:space="preserve">Comprovar execução PRAD</t>
  </si>
  <si>
    <t xml:space="preserve">Petição 11/02/2025 com prorrogação 90 dias</t>
  </si>
  <si>
    <t xml:space="preserve">0008391-19.2017.8.08.0011</t>
  </si>
  <si>
    <t xml:space="preserve">Execução obrigação de fazer</t>
  </si>
  <si>
    <t xml:space="preserve">Braminex Exp</t>
  </si>
  <si>
    <t xml:space="preserve">Aguardando análise SEMURB do projeto recuperação</t>
  </si>
  <si>
    <t xml:space="preserve">MP pediu multa R$50K — impugnado em 07/04/2026</t>
  </si>
  <si>
    <t xml:space="preserve">Prazo até 06/05/2026 p/ informações</t>
  </si>
  <si>
    <t xml:space="preserve">0008392-04.2017.8.08.0011</t>
  </si>
  <si>
    <t xml:space="preserve">SUSPENSO até desfecho do 0008391</t>
  </si>
  <si>
    <t xml:space="preserve">Vinculado ao 0008391</t>
  </si>
  <si>
    <t xml:space="preserve">0008385-2017.8.08.0011</t>
  </si>
  <si>
    <t xml:space="preserve">Execução obrigação de fazer + quantia</t>
  </si>
  <si>
    <t xml:space="preserve">0006471-39.2019.8.08.0011</t>
  </si>
  <si>
    <t xml:space="preserve">Execução obrigação fazer + quantia</t>
  </si>
  <si>
    <t xml:space="preserve">SUSPENSO desde 12/07/2024</t>
  </si>
  <si>
    <t xml:space="preserve">Monitorar reativação</t>
  </si>
  <si>
    <t xml:space="preserve">0068502-42.2012.8.08.0011</t>
  </si>
  <si>
    <t xml:space="preserve">Ação monitória</t>
  </si>
  <si>
    <t xml:space="preserve">Joenes Machado Roly</t>
  </si>
  <si>
    <t xml:space="preserve">Braminex Min + Granbrasil</t>
  </si>
  <si>
    <t xml:space="preserve">Saneador embargado; agravo do réu pendente</t>
  </si>
  <si>
    <t xml:space="preserve">Reiterar pedido julgamento antecipado</t>
  </si>
  <si>
    <t xml:space="preserve">0037350-88.2003.8.08.0011</t>
  </si>
  <si>
    <t xml:space="preserve">Roland / Braminex Exp / Marília / Roberto Boghi / Roma / Minacor</t>
  </si>
  <si>
    <t xml:space="preserve">SUSPENSO aguardando julgamento embargos</t>
  </si>
  <si>
    <t xml:space="preserve">ATENÇÃO: BB também é credor (separado do crédito ativo)</t>
  </si>
  <si>
    <t xml:space="preserve">Distinto do 5009375 — aqui BB é exequente</t>
  </si>
  <si>
    <t xml:space="preserve">5010076-97.2022.8.08.0011</t>
  </si>
  <si>
    <t xml:space="preserve">Cumprimento de sentença</t>
  </si>
  <si>
    <t xml:space="preserve">Tracomal Terraplenagem</t>
  </si>
  <si>
    <t xml:space="preserve">Inscrição em cadastro inadimplentes</t>
  </si>
  <si>
    <t xml:space="preserve">Sem penhora ainda — preventivo</t>
  </si>
  <si>
    <t xml:space="preserve">0003000-54.2015.8.08.0011</t>
  </si>
  <si>
    <t xml:space="preserve">Paulo Duric Calheiros</t>
  </si>
  <si>
    <t xml:space="preserve">Impugnação à liquidação — pendente julgamento</t>
  </si>
  <si>
    <t xml:space="preserve">Pessoal Roland — risco aposentadoria</t>
  </si>
  <si>
    <t xml:space="preserve">Provoca o 0013189 (provisório)</t>
  </si>
  <si>
    <t xml:space="preserve">0013189-23.2017.8.08.0011</t>
  </si>
  <si>
    <t xml:space="preserve">Cumprimento provisório de sentença</t>
  </si>
  <si>
    <t xml:space="preserve">Paralisado, depende do principal 0003000</t>
  </si>
  <si>
    <t xml:space="preserve">Risco multa 10% (art. 523 NCPC)</t>
  </si>
  <si>
    <t xml:space="preserve">0073257-12.2012.8.08.0011</t>
  </si>
  <si>
    <t xml:space="preserve">Black Brazil Mineração EIRELI</t>
  </si>
  <si>
    <t xml:space="preserve">Concurso de credores</t>
  </si>
  <si>
    <t xml:space="preserve">Disputar preferência no concurso</t>
  </si>
  <si>
    <t xml:space="preserve">0006397-87.2016.8.08.0011</t>
  </si>
  <si>
    <t xml:space="preserve">Desapropriação</t>
  </si>
  <si>
    <t xml:space="preserve">Passivo (expropriado)</t>
  </si>
  <si>
    <t xml:space="preserve">DER-ES</t>
  </si>
  <si>
    <t xml:space="preserve">Contestada; aguardando perícia</t>
  </si>
  <si>
    <t xml:space="preserve">OPORTUNIDADE: receber valor justo</t>
  </si>
  <si>
    <t xml:space="preserve">Peticionar prosseguimento</t>
  </si>
  <si>
    <t xml:space="preserve">0011911-89.2014.8.08.0011</t>
  </si>
  <si>
    <t xml:space="preserve">J Baptista do Carmo</t>
  </si>
  <si>
    <t xml:space="preserve">SUSPENSO — sem bens penhoráveis</t>
  </si>
  <si>
    <t xml:space="preserve">Crédito pequeno — monitorar</t>
  </si>
  <si>
    <t xml:space="preserve">0078400-94.2003.8.08.0011</t>
  </si>
  <si>
    <t xml:space="preserve">IKK do Brasil</t>
  </si>
  <si>
    <t xml:space="preserve">Penhora no rosto do BB (5009375-39) DEFERIDA</t>
  </si>
  <si>
    <t xml:space="preserve">RISCO: ataca crédito BB R$254M</t>
  </si>
  <si>
    <t xml:space="preserve">Compete com Josias Rosa pelo mesmo ativo</t>
  </si>
  <si>
    <t xml:space="preserve">0001786-43.2006.8.08.0011</t>
  </si>
  <si>
    <t xml:space="preserve">Indenização — cumprimento (Imerys)</t>
  </si>
  <si>
    <t xml:space="preserve">Imerys do Brasil</t>
  </si>
  <si>
    <t xml:space="preserve">Perita intimada — atos de expropriação</t>
  </si>
  <si>
    <t xml:space="preserve">Penhora 15% faturamento ATIVA</t>
  </si>
  <si>
    <t xml:space="preserve">KB: ação rescisória negada nov/2025; ~R$17M base</t>
  </si>
  <si>
    <t xml:space="preserve">0007400-97.2004.8.08.0011</t>
  </si>
  <si>
    <t xml:space="preserve">Hamburg Sud Brasil</t>
  </si>
  <si>
    <t xml:space="preserve">Braminex Exp / Roland</t>
  </si>
  <si>
    <t xml:space="preserve">Penhora R$4.099,42 conta de Roland</t>
  </si>
  <si>
    <t xml:space="preserve">Pessoal Roland — verba aposentadoria</t>
  </si>
  <si>
    <t xml:space="preserve">Pedir desbloqueio (impenhorabilidade)</t>
  </si>
  <si>
    <t xml:space="preserve">0014151-56.2011.8.08.0011</t>
  </si>
  <si>
    <t xml:space="preserve">Ação demarcatória</t>
  </si>
  <si>
    <t xml:space="preserve">Construtora Moraes / Marbrasa / Marinho Salviano</t>
  </si>
  <si>
    <t xml:space="preserve">Parcelamento honorários pendente</t>
  </si>
  <si>
    <t xml:space="preserve">Definir limites — proteção patrimonial</t>
  </si>
  <si>
    <t xml:space="preserve">Despachar pessoalmente com juiz</t>
  </si>
  <si>
    <t xml:space="preserve">5000339-70.2022.8.08.0011</t>
  </si>
  <si>
    <t xml:space="preserve">Obrigação de não-fazer + cominatório</t>
  </si>
  <si>
    <t xml:space="preserve">Indústrias de Mármores Cavaliere</t>
  </si>
  <si>
    <t xml:space="preserve">Reconvenção — Decreto Lavra 80.309/77 (ANM 805.081/68)</t>
  </si>
  <si>
    <t xml:space="preserve">Habilitar-se no proc. ANM 805.081/68 — URGENTE</t>
  </si>
  <si>
    <t xml:space="preserve">Multa diária pleiteada R$50K</t>
  </si>
  <si>
    <t xml:space="preserve">5003070-39.2022.8.08.0011</t>
  </si>
  <si>
    <t xml:space="preserve">New Glass Automotive</t>
  </si>
  <si>
    <t xml:space="preserve">EXTINTO — acordo quitado</t>
  </si>
  <si>
    <t xml:space="preserve">—</t>
  </si>
  <si>
    <t xml:space="preserve">0070048-50.2003.8.08.0011</t>
  </si>
  <si>
    <t xml:space="preserve">Villemor Trigueiro Sauer Adv</t>
  </si>
  <si>
    <t xml:space="preserve">0009639-84.1998.8.08.0011</t>
  </si>
  <si>
    <t xml:space="preserve">Elizabeth Ribeiro / Thiago Gomes / Alex e Alan Teixeira</t>
  </si>
  <si>
    <t xml:space="preserve">Sentença liquidação alta; recurso TJES pendente</t>
  </si>
  <si>
    <t xml:space="preserve">Risco execução de valor elevado</t>
  </si>
  <si>
    <t xml:space="preserve">Embargos desprovidos pelos advs anteriores</t>
  </si>
  <si>
    <t xml:space="preserve">0000585-36.2018.8.08.0030</t>
  </si>
  <si>
    <t xml:space="preserve">Linhares</t>
  </si>
  <si>
    <t xml:space="preserve">Incidente desconsideração PJ</t>
  </si>
  <si>
    <t xml:space="preserve">Passivo (suscitado)</t>
  </si>
  <si>
    <t xml:space="preserve">Pianna Comércio</t>
  </si>
  <si>
    <t xml:space="preserve">Braminex Min + Rogério + Roland + Daniel + DAVID</t>
  </si>
  <si>
    <t xml:space="preserve">Rogério/Daniel/DAVID NÃO CITADOS — prazo não iniciado</t>
  </si>
  <si>
    <t xml:space="preserve">RISCO PESSOAL DAVID — atacar antes da citação</t>
  </si>
  <si>
    <t xml:space="preserve">KB: Pianna mencionada; David diretamente exposto</t>
  </si>
  <si>
    <t xml:space="preserve">0900685-78.2009.8.08.0030</t>
  </si>
  <si>
    <t xml:space="preserve">SUSPENSA até julgamento do incidente IDPJ</t>
  </si>
  <si>
    <t xml:space="preserve">Avaliar prescrição intercorrente (CPC novo)</t>
  </si>
  <si>
    <t xml:space="preserve">Vinculada ao 0000585</t>
  </si>
  <si>
    <t xml:space="preserve">5000259-38.2024.8.08.0011</t>
  </si>
  <si>
    <t xml:space="preserve">Ed Martins André</t>
  </si>
  <si>
    <t xml:space="preserve">Trianon</t>
  </si>
  <si>
    <t xml:space="preserve">Rogério/Daniel não citados (DAVID não mencionado)</t>
  </si>
  <si>
    <t xml:space="preserve">Monitorar — Trianon na execução 0008422-39.2017</t>
  </si>
  <si>
    <t xml:space="preserve">Diferente do incidente Pianna</t>
  </si>
  <si>
    <t xml:space="preserve">5001282-24.2021.8.08.0011</t>
  </si>
  <si>
    <t xml:space="preserve">Indenização danos morais e materiais</t>
  </si>
  <si>
    <t xml:space="preserve">Wilson Roberto Areas</t>
  </si>
  <si>
    <t xml:space="preserve">Sentença improcedente mantida pelo TJES (22/04/2026)</t>
  </si>
  <si>
    <t xml:space="preserve">Sem mais recurso ordinário</t>
  </si>
  <si>
    <t xml:space="preserve">Hilux SW-4 — caso pessoal Roland</t>
  </si>
  <si>
    <t xml:space="preserve">0125-22.2005.8.08.0057</t>
  </si>
  <si>
    <t xml:space="preserve">Vargem Alta</t>
  </si>
  <si>
    <t xml:space="preserve">Indenização (Aremildo / Marbrasil)</t>
  </si>
  <si>
    <t xml:space="preserve">Aremildo Pessin / Lucilene / Mineração Marbrasil / Gramobras</t>
  </si>
  <si>
    <t xml:space="preserve">Sentença favorável; réus apelaram (subindo p/ TJES)</t>
  </si>
  <si>
    <t xml:space="preserve">OPORTUNIDADE — DNPM 803.961-75 declarado</t>
  </si>
  <si>
    <t xml:space="preserve">Direito exclusivo + indenização em liquidação</t>
  </si>
  <si>
    <t xml:space="preserve">0004115-96.2000.8.08.0024</t>
  </si>
  <si>
    <t xml:space="preserve">Vitória</t>
  </si>
  <si>
    <t xml:space="preserve">Pedravest Revestimentos</t>
  </si>
  <si>
    <t xml:space="preserve">Braminex Exp / Roland / Roberto Boghi / Isis</t>
  </si>
  <si>
    <t xml:space="preserve">Prescrição intercorrente pleiteada (não apreciada)</t>
  </si>
  <si>
    <t xml:space="preserve">Penhora R$4.149,42 aposentadoria Roland — desbloquear</t>
  </si>
  <si>
    <t xml:space="preserve">Pessoal Roland</t>
  </si>
  <si>
    <t xml:space="preserve">1085837-09.1998.8.08.0024</t>
  </si>
  <si>
    <t xml:space="preserve">Blokos / Naegele family</t>
  </si>
  <si>
    <t xml:space="preserve">Tentativa alienação particular ao Sr. Jonas — negada (TJES)</t>
  </si>
  <si>
    <t xml:space="preserve">OPORTUNIDADE — apto Praia do Canto na posse</t>
  </si>
  <si>
    <t xml:space="preserve">Peticionar leilão urgentemente</t>
  </si>
  <si>
    <t xml:space="preserve">0001122-02.2008.8.08.0024</t>
  </si>
  <si>
    <t xml:space="preserve">CODESA — Cia. Docas/ES</t>
  </si>
  <si>
    <t xml:space="preserve">Mandado físico para pagamento — sem penhora ainda</t>
  </si>
  <si>
    <t xml:space="preserve">Avaliar acordo</t>
  </si>
  <si>
    <t xml:space="preserve">0005954-20.2004.8.08.0024</t>
  </si>
  <si>
    <t xml:space="preserve">BANDES</t>
  </si>
  <si>
    <t xml:space="preserve">Multa diária — contestada (publicação adv errado)</t>
  </si>
  <si>
    <t xml:space="preserve">Embargos declaração 11/11/2025 pendentes</t>
  </si>
  <si>
    <t xml:space="preserve">Alegação publicação Dr. Alexandre</t>
  </si>
  <si>
    <t xml:space="preserve">0002469-12.2004.8.08.0024</t>
  </si>
  <si>
    <t xml:space="preserve">Indisponibilidade ANM TODOS direitos minerários</t>
  </si>
  <si>
    <t xml:space="preserve">RISCO: bloqueio integral mineração — petição 18/12/25</t>
  </si>
  <si>
    <t xml:space="preserve">Pediu restringir a 840.038/1986 só</t>
  </si>
  <si>
    <t xml:space="preserve">0031385-46.2010.8.08.0024</t>
  </si>
  <si>
    <t xml:space="preserve">EDP Espírito Santo</t>
  </si>
  <si>
    <t xml:space="preserve">Agravo improcedente; ED pendentes</t>
  </si>
  <si>
    <t xml:space="preserve">Inércia exequente desde jul/2025</t>
  </si>
  <si>
    <t xml:space="preserve">0021016-27.2009.8.08.0024</t>
  </si>
  <si>
    <t xml:space="preserve">Mineração Serra Azul</t>
  </si>
  <si>
    <t xml:space="preserve">650m² ladrilho granito preto penhorado</t>
  </si>
  <si>
    <t xml:space="preserve">Avaliar prescrição intercorrente</t>
  </si>
  <si>
    <t xml:space="preserve">00029487-37.2006.8.08.0011</t>
  </si>
  <si>
    <t xml:space="preserve">Cond. Edif. Vitória Central</t>
  </si>
  <si>
    <t xml:space="preserve">Roland / Marília</t>
  </si>
  <si>
    <t xml:space="preserve">USUFRUTO sala 210 desde set/2014 (art. 825,III)</t>
  </si>
  <si>
    <t xml:space="preserve">Pessoal Roland/Marília — situação estável</t>
  </si>
  <si>
    <t xml:space="preserve">Locação compensa débito</t>
  </si>
  <si>
    <t xml:space="preserve">5000726-56.2021.8.08.0032</t>
  </si>
  <si>
    <t xml:space="preserve">Marataízes</t>
  </si>
  <si>
    <t xml:space="preserve">Outorga escritura + adjudicação</t>
  </si>
  <si>
    <t xml:space="preserve">Caetano Tunholi + 10 herdeiros/cessionários</t>
  </si>
  <si>
    <t xml:space="preserve">Demanda contestada — em curso</t>
  </si>
  <si>
    <t xml:space="preserve">Regularizar título imóvel</t>
  </si>
  <si>
    <t xml:space="preserve">0004370-83.2021.8.08.0035</t>
  </si>
  <si>
    <t xml:space="preserve">Vila Velha</t>
  </si>
  <si>
    <t xml:space="preserve">Cond. Edif. Jean Cloute</t>
  </si>
  <si>
    <t xml:space="preserve">PEDIDO DE LEILÃO IMÓVEL ATIVO</t>
  </si>
  <si>
    <t xml:space="preserve">URGENTE — acordar ou perder o bem</t>
  </si>
  <si>
    <t xml:space="preserve">Imóvel risco expropriação</t>
  </si>
  <si>
    <t xml:space="preserve">0000760-38.2011.8.08.0042</t>
  </si>
  <si>
    <t xml:space="preserve">Presidente Kennedy / Itapemirim</t>
  </si>
  <si>
    <t xml:space="preserve">Made in Brasil Granitos / sócios</t>
  </si>
  <si>
    <t xml:space="preserve">Desconsideração obtida — buscando bens dos sócios</t>
  </si>
  <si>
    <t xml:space="preserve">Recuperação via PF dos sócios</t>
  </si>
  <si>
    <t xml:space="preserve">5015749-91.2021.8.08.0048</t>
  </si>
  <si>
    <t xml:space="preserve">Serra</t>
  </si>
  <si>
    <t xml:space="preserve">Expogranit Comércio Exportação</t>
  </si>
  <si>
    <t xml:space="preserve">Penhora direito minerário ANM 27207.870238/1982-19</t>
  </si>
  <si>
    <t xml:space="preserve">Reiterar avaliação para expropriação (art. 875 CPC)</t>
  </si>
  <si>
    <t xml:space="preserve">Despachar pessoalmente em Serra/ES</t>
  </si>
  <si>
    <t xml:space="preserve">5011663-23.2023.8.08.0011</t>
  </si>
  <si>
    <t xml:space="preserve">Produção antecipada de provas</t>
  </si>
  <si>
    <t xml:space="preserve">Bernardo Caretta de Mendonça</t>
  </si>
  <si>
    <t xml:space="preserve">Braminex Min / Imerys / Min ES / Remen Mineração</t>
  </si>
  <si>
    <t xml:space="preserve">EXTINTO sem mérito — continência c/ usucapião 0015567-64.2008</t>
  </si>
  <si>
    <t xml:space="preserve">Monitorar alegação de não-intimação do requerente</t>
  </si>
  <si>
    <t xml:space="preserve">5003035-79.2022.8.08.0011</t>
  </si>
  <si>
    <t xml:space="preserve">Alexandre Duarte Moreira</t>
  </si>
  <si>
    <t xml:space="preserve">Penhora terreno 900m² Bairro Baiminas, Cachoeiro</t>
  </si>
  <si>
    <t xml:space="preserve">Pessoal Roland — risco perda imóvel</t>
  </si>
  <si>
    <t xml:space="preserve">Exceção pré-exec rejeitada</t>
  </si>
  <si>
    <t xml:space="preserve">TOTAIS</t>
  </si>
  <si>
    <t xml:space="preserve">PRIORIDADES IMEDIATAS — Risco de Leilão / Expropriação / Bloqueio</t>
  </si>
  <si>
    <t xml:space="preserve">Risco Iminente</t>
  </si>
  <si>
    <t xml:space="preserve">Prazo / Trigger</t>
  </si>
  <si>
    <t xml:space="preserve">Ação Recomendada</t>
  </si>
  <si>
    <t xml:space="preserve">Cross-Ref</t>
  </si>
  <si>
    <t xml:space="preserve">0041714-06.2003 (Louzada)</t>
  </si>
  <si>
    <t xml:space="preserve">Leilão SEDE Braminex (Trevo BNH) marcado 30/06/2026</t>
  </si>
  <si>
    <t xml:space="preserve">Nova avaliação pericial em curso (juiz suspendeu)</t>
  </si>
  <si>
    <t xml:space="preserve">Acompanhar perito; impugnar cálculo; alinhar c/ R$70M trab. e R$32,2M La Roca já em estudo no KB</t>
  </si>
  <si>
    <t xml:space="preserve">✓ KB</t>
  </si>
  <si>
    <t xml:space="preserve">0002593-63.2006 (Dorigheto)</t>
  </si>
  <si>
    <t xml:space="preserve">Bens da SEDE penhorados — leilão possível</t>
  </si>
  <si>
    <t xml:space="preserve">Decisão pendente sobre limites do título — reiterar; vincular ao Louzada</t>
  </si>
  <si>
    <t xml:space="preserve">± KB</t>
  </si>
  <si>
    <t xml:space="preserve">0001786-43.2006 (Imerys)</t>
  </si>
  <si>
    <t xml:space="preserve">Atos de expropriação em curso (15% faturamento)</t>
  </si>
  <si>
    <t xml:space="preserve">Perita contadora intimada</t>
  </si>
  <si>
    <t xml:space="preserve">Coordenar c/ defesa rescisória já documentada no KB; acompanhar perita</t>
  </si>
  <si>
    <t xml:space="preserve">0002469-12.2004 (BANDES)</t>
  </si>
  <si>
    <t xml:space="preserve">Petição 18/12/2025 — restringir a 840.038/86 — pendente</t>
  </si>
  <si>
    <t xml:space="preserve">Reiterar petição de chamamento à ordem; risco paralisar mineração</t>
  </si>
  <si>
    <t xml:space="preserve">0004370-83.2021 (Cond. Jean Cloute)</t>
  </si>
  <si>
    <t xml:space="preserve">Pedido de leilão de imóvel ATIVO</t>
  </si>
  <si>
    <t xml:space="preserve">Dívida atualizada R$ 212.395,11</t>
  </si>
  <si>
    <t xml:space="preserve">ACORDAR antes do leilão — caso contrário perda do imóvel</t>
  </si>
  <si>
    <t xml:space="preserve">0000585-36.2018 (Pianna IDPJ)</t>
  </si>
  <si>
    <t xml:space="preserve">Desconsideração PJ atinge David, Rogério, Daniel, Roland</t>
  </si>
  <si>
    <t xml:space="preserve">David ainda NÃO citado — prazo não iniciou</t>
  </si>
  <si>
    <t xml:space="preserve">Aproveitar janela: avaliar prescrição intercorrente do principal (0900685-78.2009)</t>
  </si>
  <si>
    <t xml:space="preserve">5009375-39.2022 (BB R$254M)</t>
  </si>
  <si>
    <t xml:space="preserve">Múltiplas penhoras NO ROSTO atacam o crédito</t>
  </si>
  <si>
    <t xml:space="preserve">IKK (R$1,55M deferida); Josias Rosa (R$728K pedida)</t>
  </si>
  <si>
    <t xml:space="preserve">Defender liquidez do ativo — KB já sinaliza precatório swap</t>
  </si>
  <si>
    <t xml:space="preserve">1085837-09.1998 (Blokos)</t>
  </si>
  <si>
    <t xml:space="preserve">Apto Praia do Canto — alienação ao Sr. Jonas negada</t>
  </si>
  <si>
    <t xml:space="preserve">TJES manteve negativa; valor exec R$2,84M</t>
  </si>
  <si>
    <t xml:space="preserve">Peticionar leilão rapidamente — ATIVO, oportunidade</t>
  </si>
  <si>
    <t xml:space="preserve">0007400-97.2004 + 0004115-96.2000</t>
  </si>
  <si>
    <t xml:space="preserve">Penhora de aposentadoria de Roland</t>
  </si>
  <si>
    <t xml:space="preserve">R$4.099,42 e R$4.149,42 já bloqueados</t>
  </si>
  <si>
    <t xml:space="preserve">Pedido desbloqueio (impenhorabilidade verba alimentar)</t>
  </si>
  <si>
    <t xml:space="preserve">5000339-70.2022 (Cavaliere)</t>
  </si>
  <si>
    <t xml:space="preserve">Habilitação no proc. ANM 805.081/1968 — urgente</t>
  </si>
  <si>
    <t xml:space="preserve">Juiz exigiu extrato atualizado</t>
  </si>
  <si>
    <t xml:space="preserve">Coordenar c/ equipe ANM (KB: 88+ processos minerários)</t>
  </si>
  <si>
    <t xml:space="preserve">Cross-Reference: Felipe Buffa Report ↔ Knowledge Base existente</t>
  </si>
  <si>
    <t xml:space="preserve">Categoria</t>
  </si>
  <si>
    <t xml:space="preserve">Processo / Tema</t>
  </si>
  <si>
    <t xml:space="preserve">Status no KB</t>
  </si>
  <si>
    <t xml:space="preserve">Status no Relatório Felipe</t>
  </si>
  <si>
    <t xml:space="preserve">Convergência / Divergência</t>
  </si>
  <si>
    <t xml:space="preserve">✓ JÁ RASTREADO</t>
  </si>
  <si>
    <t xml:space="preserve">0041714-06.2003 (Louzada vs Granbrasil)</t>
  </si>
  <si>
    <t xml:space="preserve">KB: leilão imóveis sede; petição p/ nova avaliação; R$70M trabalhista vs R$32,2M La Roca</t>
  </si>
  <si>
    <t xml:space="preserve">Leilão 30/06/2026; juiz SUSPENDEU e designou novo perito</t>
  </si>
  <si>
    <t xml:space="preserve">CONVERGENTE — relatório confirma sucesso da petição mencionada no KB</t>
  </si>
  <si>
    <t xml:space="preserve">5009375-39.2022 (Banco do Brasil R$256M)</t>
  </si>
  <si>
    <t xml:space="preserve">KB: ativo estratégico p/ precatório swap, não venda distressed</t>
  </si>
  <si>
    <t xml:space="preserve">Liquidação em curso; perícia ativa; assistente Vaner; MAS múltiplas penhoras no rosto (IKK, Josias Rosa)</t>
  </si>
  <si>
    <t xml:space="preserve">AMPLIADO — relatório revela ataques ao ativo via penhora no rosto que devem ser monitorados</t>
  </si>
  <si>
    <t xml:space="preserve">KB: ação rescisória negada nov/2025; ~R$17M base; 15% faturamento penhorado</t>
  </si>
  <si>
    <t xml:space="preserve">Atualizado R$32,6M; perita intimada para EXPROPRIAÇÃO</t>
  </si>
  <si>
    <t xml:space="preserve">CONVERGENTE — escala atualizada; expropriação iminente</t>
  </si>
  <si>
    <t xml:space="preserve">± PARCIAL</t>
  </si>
  <si>
    <t xml:space="preserve">Pianna (0000585-36.2018 IDPJ + 0900685-78.2009)</t>
  </si>
  <si>
    <t xml:space="preserve">KB: Pianna mencionada en passant</t>
  </si>
  <si>
    <t xml:space="preserve">DAVID exposto pessoalmente; ainda NÃO citado; prazo não iniciado</t>
  </si>
  <si>
    <t xml:space="preserve">GAP CRÍTICO — KB não enfatiza exposição pessoal de David; janela tática aberta</t>
  </si>
  <si>
    <t xml:space="preserve">+ NOVO</t>
  </si>
  <si>
    <t xml:space="preserve">0004370-83.2021 (Cond. Jean Cloute — Granbrasil)</t>
  </si>
  <si>
    <t xml:space="preserve">Não consta</t>
  </si>
  <si>
    <t xml:space="preserve">Leilão urgente; R$212K; perda iminente do imóvel</t>
  </si>
  <si>
    <t xml:space="preserve">ADICIONAR ao KB — risco material novo</t>
  </si>
  <si>
    <t xml:space="preserve">0000282 / 0006397 / 0008391 etc (cluster MP/ES Granbrasil + Braminex)</t>
  </si>
  <si>
    <t xml:space="preserve">Não consta — KB foca em federal/labor</t>
  </si>
  <si>
    <t xml:space="preserve">TAC firmado; PRAD em execução; SEMURB pendente</t>
  </si>
  <si>
    <t xml:space="preserve">ADICIONAR — track ambiental estadual paralelo aos processos federais</t>
  </si>
  <si>
    <t xml:space="preserve">Vagner Pereira de Souza (4 processos: 5006254, 5006236, 5005910, 5006215, 5006237)</t>
  </si>
  <si>
    <t xml:space="preserve">Devedor recorrente; Hilux ODT-4H46 penhorado</t>
  </si>
  <si>
    <t xml:space="preserve">ADICIONAR — credores recebíveis; consolidar estratégia</t>
  </si>
  <si>
    <t xml:space="preserve">0004115-96.2000 (Pedravest) + 0007400-97.2004 (Hamburg Sud)</t>
  </si>
  <si>
    <t xml:space="preserve">Penhora aposentadoria Roland — R$4.149,42 + R$4.099,42</t>
  </si>
  <si>
    <t xml:space="preserve">ADICIONAR — risco patrimonial pessoal Roland; pedir desbloqueio</t>
  </si>
  <si>
    <t xml:space="preserve">5009375 confronto: 0029204 (Josias Rosa R$728K) + 0078400 (IKK R$1,55M)</t>
  </si>
  <si>
    <t xml:space="preserve">Não consta os ataques</t>
  </si>
  <si>
    <t xml:space="preserve">Penhoras NO ROSTO do crédito BB R$254M</t>
  </si>
  <si>
    <t xml:space="preserve">ADICIONAR — strategic risk for the asset KB tracks at center</t>
  </si>
  <si>
    <t xml:space="preserve">0014151-56.2011 (Roland — Demarcatória)</t>
  </si>
  <si>
    <t xml:space="preserve">Honorários parcelamento; protege limites do imóvel</t>
  </si>
  <si>
    <t xml:space="preserve">ADICIONAR — boundary defense</t>
  </si>
  <si>
    <t xml:space="preserve">5015749-91.2021 (Granbrasil x Expogranit) — penhora ANM 27207.870238/82</t>
  </si>
  <si>
    <t xml:space="preserve">KB tem 88+ processos ANM mas não este específico</t>
  </si>
  <si>
    <t xml:space="preserve">Crédito R$378K via direito minerário</t>
  </si>
  <si>
    <t xml:space="preserve">VINCULAR — está dentro da carteira ANM mapeada no KB</t>
  </si>
  <si>
    <t xml:space="preserve">5000339-70.2022 (Cavaliere) — Decreto Lavra 80.309/77 (ANM 805.081/68)</t>
  </si>
  <si>
    <t xml:space="preserve">Reconvenção pede transferência ANM e baixa de gravame</t>
  </si>
  <si>
    <t xml:space="preserve">ADICIONAR — critical mineral concession dispute</t>
  </si>
  <si>
    <t xml:space="preserve">0125-22.2005.8.08.0057 (Aremildo / Marbrasil)</t>
  </si>
  <si>
    <t xml:space="preserve">Sentença favorável; DNPM 803.961-75 declarado exclusivo</t>
  </si>
  <si>
    <t xml:space="preserve">ADICIONAR — ATIVO importante; apelação dos réus subindo</t>
  </si>
  <si>
    <t xml:space="preserve">1085837-09.1998 (Blokos / Naegele) — Apto Praia do Canto</t>
  </si>
  <si>
    <t xml:space="preserve">Posse do imóvel; alienação a Sr. Jonas negada; valor R$2,84M</t>
  </si>
  <si>
    <t xml:space="preserve">ADICIONAR — oportunidade de leilão</t>
  </si>
  <si>
    <t xml:space="preserve">Felipe Buffa Souza Pinto (OAB/ES 10.493)</t>
  </si>
  <si>
    <t xml:space="preserve">Não consta — KB lista Pedro, Dr. Alexandre Carvalho Silva (OAB/ES 10.925), Nelson Alvarenga Jr.</t>
  </si>
  <si>
    <t xml:space="preserve">Autor do relatório — coordena 1ª instância TJES</t>
  </si>
  <si>
    <t xml:space="preserve">ADICIONAR ao roster de advogados — 5º advogado do KB</t>
  </si>
  <si>
    <t xml:space="preserve">⚠ DUPLICATAS NO RELATÓRIO</t>
  </si>
  <si>
    <t xml:space="preserve">0068502-42.2012 / 0078400-94.2003 / 0021016-27.2009</t>
  </si>
  <si>
    <t xml:space="preserve">Aparecem 2x cada no relatório do Felipe</t>
  </si>
  <si>
    <t xml:space="preserve">Sinalizar a Felipe para limpar duplicatas no próximo relatório</t>
  </si>
  <si>
    <t xml:space="preserve">Resumo de Processos por Entidade Feiertag</t>
  </si>
  <si>
    <t xml:space="preserve">Entidade</t>
  </si>
  <si>
    <t xml:space="preserve">Total Processos</t>
  </si>
  <si>
    <t xml:space="preserve">Como Ativo (Credor)</t>
  </si>
  <si>
    <t xml:space="preserve">Como Passivo (Devedor)</t>
  </si>
  <si>
    <t xml:space="preserve">Exposição Aproximada (R$)</t>
  </si>
  <si>
    <t xml:space="preserve">Braminex (Min+Exp)</t>
  </si>
  <si>
    <t xml:space="preserve">Mibral</t>
  </si>
  <si>
    <t xml:space="preserve">Minacor</t>
  </si>
  <si>
    <t xml:space="preserve">Roma</t>
  </si>
  <si>
    <t xml:space="preserve">Marília</t>
  </si>
  <si>
    <t xml:space="preserve">Roland Jr</t>
  </si>
  <si>
    <t xml:space="preserve">Granitos Sul</t>
  </si>
  <si>
    <t xml:space="preserve">Distribuição por Comarca / Vara</t>
  </si>
  <si>
    <t xml:space="preserve">Código TJES</t>
  </si>
  <si>
    <t xml:space="preserve">0011</t>
  </si>
  <si>
    <t xml:space="preserve">0024</t>
  </si>
  <si>
    <t xml:space="preserve">0002</t>
  </si>
  <si>
    <t xml:space="preserve">0030</t>
  </si>
  <si>
    <t xml:space="preserve">0057</t>
  </si>
  <si>
    <t xml:space="preserve">0032</t>
  </si>
  <si>
    <t xml:space="preserve">0035</t>
  </si>
  <si>
    <t xml:space="preserve">0042</t>
  </si>
  <si>
    <t xml:space="preserve">0048</t>
  </si>
  <si>
    <t xml:space="preserve">TOTAL</t>
  </si>
  <si>
    <t xml:space="preserve">Legenda, Fonte e Metodologia</t>
  </si>
  <si>
    <t xml:space="preserve">FONTE PRIMÁRIA</t>
  </si>
  <si>
    <t xml:space="preserve">Relatório Preliminar de Processos em 1ª Instância na Justiça Estadual — Felipe Buffa Souza Pinto, OAB/ES 10.493</t>
  </si>
  <si>
    <t xml:space="preserve">ESCOPO</t>
  </si>
  <si>
    <t xml:space="preserve">Apenas TJES 1ª instância (não inclui TRF-2, TRT-17, STJ, processos federais ou trabalhistas)</t>
  </si>
  <si>
    <t xml:space="preserve">DATA DE CORTE</t>
  </si>
  <si>
    <t xml:space="preserve">Conforme entradas mais recentes citadas no relatório: até 22/04/2026</t>
  </si>
  <si>
    <t xml:space="preserve">CÓDIGO PRIORIDADE</t>
  </si>
  <si>
    <t xml:space="preserve">Risco iminente de perda patrimonial / leilão / expropriação / bloqueio total</t>
  </si>
  <si>
    <t xml:space="preserve">Decisão pendente que pode resultar em perda significativa em curto prazo</t>
  </si>
  <si>
    <t xml:space="preserve">Processo ativo com necessidade de petição/diligência mas sem risco iminente</t>
  </si>
  <si>
    <t xml:space="preserve">Suspenso, sem bens, ou crédito pequeno</t>
  </si>
  <si>
    <t xml:space="preserve">Arquivado, extinto, transitado em julgado sem mais recurso</t>
  </si>
  <si>
    <t xml:space="preserve">CROSS-REF KB</t>
  </si>
  <si>
    <t xml:space="preserve">Processo já consta na base de conhecimento existente — converge</t>
  </si>
  <si>
    <t xml:space="preserve">Tema referenciado no KB mas detalhes diferem ou ampliam</t>
  </si>
  <si>
    <t xml:space="preserve">Não consta no KB — incorporar</t>
  </si>
  <si>
    <t xml:space="preserve">OBSERVAÇÕES METODOLÓGICAS</t>
  </si>
  <si>
    <t xml:space="preserve">Duplicatas no original</t>
  </si>
  <si>
    <t xml:space="preserve">Processos 0068502-42.2012, 0078400-94.2003, 0021016-27.2009 aparecem 2x no relatório original — consolidados aqui</t>
  </si>
  <si>
    <t xml:space="preserve">Comarcas</t>
  </si>
  <si>
    <t xml:space="preserve">Códigos TJES (XXXX) inferidos por contexto; verificar com Felipe se houver dúvida</t>
  </si>
  <si>
    <t xml:space="preserve">Valores</t>
  </si>
  <si>
    <t xml:space="preserve">Valor histórico = inicial da causa; Valor atual = valor de cobrança/exposição mais recente citado</t>
  </si>
  <si>
    <t xml:space="preserve">Penhoras 'no rosto'</t>
  </si>
  <si>
    <t xml:space="preserve">Marcadas como risco ao ativo BB R$254M (5009375-39.2022) — IKK e Josias Rosa atacam o crédito</t>
  </si>
  <si>
    <t xml:space="preserve">Exposição pessoal</t>
  </si>
  <si>
    <t xml:space="preserve">Roland aparece em 13+ processos; David exposto em incidente Pianna (0000585-36.2018) — janela tática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</si>
</sst>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;[RED]&quot;(R$ &quot;#,##0.00\)"/>
    <numFmt numFmtId="166" formatCode="&quot;R$ &quot;#,##0.00"/>
    <numFmt numFmtId="167" formatCode="&quot;R$ &quot;#,##0.00;[RED]&quot;(R$ &quot;#,##0.00\);\—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833C0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7E6E6"/>
      </patternFill>
    </fill>
    <fill>
      <patternFill patternType="solid">
        <fgColor rgb="FFFCE4D6"/>
        <bgColor rgb="FFE7E6E6"/>
      </patternFill>
    </fill>
    <fill>
      <patternFill patternType="solid">
        <fgColor rgb="FFD9D9D9"/>
        <bgColor rgb="FFCCCCCC"/>
      </patternFill>
    </fill>
    <fill>
      <patternFill patternType="solid">
        <fgColor rgb="FFFFD966"/>
        <bgColor rgb="FFFFEB9C"/>
      </patternFill>
    </fill>
    <fill>
      <patternFill patternType="solid">
        <fgColor rgb="FFED7D31"/>
        <bgColor rgb="FFFF8080"/>
      </patternFill>
    </fill>
    <fill>
      <patternFill patternType="solid">
        <fgColor rgb="FFFFEB9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C6EFCE"/>
        <bgColor rgb="FFE2EFDA"/>
      </patternFill>
    </fill>
    <fill>
      <patternFill patternType="solid">
        <fgColor rgb="FFE7E6E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833C0C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5700"/>
      <rgbColor rgb="FF800080"/>
      <rgbColor rgb="FF008080"/>
      <rgbColor rgb="FFCCCCCC"/>
      <rgbColor rgb="FF808080"/>
      <rgbColor rgb="FF9999FF"/>
      <rgbColor rgb="FF993366"/>
      <rgbColor rgb="FFE2EFDA"/>
      <rgbColor rgb="FFE7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833C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18"/>
    <col collapsed="false" customWidth="true" hidden="false" outlineLevel="0" max="6" min="6" style="0" width="32"/>
    <col collapsed="false" customWidth="true" hidden="false" outlineLevel="0" max="7" min="7" style="0" width="36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38"/>
    <col collapsed="false" customWidth="true" hidden="false" outlineLevel="0" max="11" min="11" style="0" width="12"/>
    <col collapsed="false" customWidth="true" hidden="false" outlineLevel="0" max="12" min="12" style="0" width="38"/>
    <col collapsed="false" customWidth="true" hidden="false" outlineLevel="0" max="13" min="13" style="0" width="14"/>
    <col collapsed="false" customWidth="true" hidden="false" outlineLevel="0" max="14" min="14" style="0" width="42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60" hidden="false" customHeight="true" outlineLevel="0" collapsed="false">
      <c r="A2" s="2" t="n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 t="n">
        <v>10000</v>
      </c>
      <c r="I2" s="3" t="n">
        <v>2229.73</v>
      </c>
      <c r="J2" s="2" t="s">
        <v>20</v>
      </c>
      <c r="K2" s="4" t="s">
        <v>21</v>
      </c>
      <c r="L2" s="2" t="s">
        <v>22</v>
      </c>
      <c r="M2" s="5" t="s">
        <v>23</v>
      </c>
      <c r="N2" s="2" t="s">
        <v>24</v>
      </c>
    </row>
    <row r="3" customFormat="false" ht="60" hidden="false" customHeight="true" outlineLevel="0" collapsed="false">
      <c r="A3" s="2" t="n">
        <v>2</v>
      </c>
      <c r="B3" s="2" t="s">
        <v>25</v>
      </c>
      <c r="C3" s="2" t="s">
        <v>15</v>
      </c>
      <c r="D3" s="2" t="s">
        <v>26</v>
      </c>
      <c r="E3" s="2" t="s">
        <v>27</v>
      </c>
      <c r="F3" s="2" t="s">
        <v>28</v>
      </c>
      <c r="G3" s="2" t="s">
        <v>29</v>
      </c>
      <c r="H3" s="2"/>
      <c r="I3" s="2"/>
      <c r="J3" s="2" t="s">
        <v>30</v>
      </c>
      <c r="K3" s="6" t="s">
        <v>31</v>
      </c>
      <c r="L3" s="2" t="s">
        <v>32</v>
      </c>
      <c r="M3" s="5" t="s">
        <v>23</v>
      </c>
      <c r="N3" s="2" t="s">
        <v>33</v>
      </c>
    </row>
    <row r="4" customFormat="false" ht="60" hidden="false" customHeight="true" outlineLevel="0" collapsed="false">
      <c r="A4" s="2" t="n">
        <v>3</v>
      </c>
      <c r="B4" s="2" t="s">
        <v>34</v>
      </c>
      <c r="C4" s="2" t="s">
        <v>15</v>
      </c>
      <c r="D4" s="2" t="s">
        <v>35</v>
      </c>
      <c r="E4" s="2" t="s">
        <v>36</v>
      </c>
      <c r="F4" s="2" t="s">
        <v>37</v>
      </c>
      <c r="G4" s="2" t="s">
        <v>19</v>
      </c>
      <c r="H4" s="3" t="n">
        <v>5000</v>
      </c>
      <c r="I4" s="2"/>
      <c r="J4" s="2" t="s">
        <v>38</v>
      </c>
      <c r="K4" s="7" t="s">
        <v>39</v>
      </c>
      <c r="L4" s="2" t="s">
        <v>40</v>
      </c>
      <c r="M4" s="5" t="s">
        <v>23</v>
      </c>
      <c r="N4" s="2" t="s">
        <v>41</v>
      </c>
    </row>
    <row r="5" customFormat="false" ht="60" hidden="false" customHeight="true" outlineLevel="0" collapsed="false">
      <c r="A5" s="2" t="n">
        <v>4</v>
      </c>
      <c r="B5" s="2" t="s">
        <v>42</v>
      </c>
      <c r="C5" s="2" t="s">
        <v>15</v>
      </c>
      <c r="D5" s="2" t="s">
        <v>43</v>
      </c>
      <c r="E5" s="2" t="s">
        <v>36</v>
      </c>
      <c r="F5" s="2" t="s">
        <v>44</v>
      </c>
      <c r="G5" s="2" t="s">
        <v>45</v>
      </c>
      <c r="H5" s="3" t="n">
        <v>112837.88</v>
      </c>
      <c r="I5" s="2"/>
      <c r="J5" s="2" t="s">
        <v>46</v>
      </c>
      <c r="K5" s="7" t="s">
        <v>39</v>
      </c>
      <c r="L5" s="2" t="s">
        <v>47</v>
      </c>
      <c r="M5" s="5" t="s">
        <v>23</v>
      </c>
      <c r="N5" s="2" t="s">
        <v>48</v>
      </c>
    </row>
    <row r="6" customFormat="false" ht="60" hidden="false" customHeight="true" outlineLevel="0" collapsed="false">
      <c r="A6" s="2" t="n">
        <v>5</v>
      </c>
      <c r="B6" s="2" t="s">
        <v>49</v>
      </c>
      <c r="C6" s="2" t="s">
        <v>15</v>
      </c>
      <c r="D6" s="2" t="s">
        <v>50</v>
      </c>
      <c r="E6" s="2" t="s">
        <v>36</v>
      </c>
      <c r="F6" s="2" t="s">
        <v>51</v>
      </c>
      <c r="G6" s="2" t="s">
        <v>19</v>
      </c>
      <c r="H6" s="2"/>
      <c r="I6" s="2"/>
      <c r="J6" s="2" t="s">
        <v>52</v>
      </c>
      <c r="K6" s="7" t="s">
        <v>39</v>
      </c>
      <c r="L6" s="2" t="s">
        <v>53</v>
      </c>
      <c r="M6" s="5" t="s">
        <v>23</v>
      </c>
      <c r="N6" s="2" t="s">
        <v>54</v>
      </c>
    </row>
    <row r="7" customFormat="false" ht="60" hidden="false" customHeight="true" outlineLevel="0" collapsed="false">
      <c r="A7" s="2" t="n">
        <v>6</v>
      </c>
      <c r="B7" s="2" t="s">
        <v>55</v>
      </c>
      <c r="C7" s="2" t="s">
        <v>15</v>
      </c>
      <c r="D7" s="2" t="s">
        <v>56</v>
      </c>
      <c r="E7" s="2" t="s">
        <v>36</v>
      </c>
      <c r="F7" s="2" t="s">
        <v>18</v>
      </c>
      <c r="G7" s="2" t="s">
        <v>19</v>
      </c>
      <c r="H7" s="3" t="n">
        <v>80000</v>
      </c>
      <c r="I7" s="2"/>
      <c r="J7" s="2" t="s">
        <v>57</v>
      </c>
      <c r="K7" s="4" t="s">
        <v>21</v>
      </c>
      <c r="L7" s="2" t="s">
        <v>58</v>
      </c>
      <c r="M7" s="5" t="s">
        <v>23</v>
      </c>
      <c r="N7" s="2"/>
    </row>
    <row r="8" customFormat="false" ht="60" hidden="false" customHeight="true" outlineLevel="0" collapsed="false">
      <c r="A8" s="2" t="n">
        <v>7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64</v>
      </c>
      <c r="H8" s="2"/>
      <c r="I8" s="3" t="n">
        <v>728543.13</v>
      </c>
      <c r="J8" s="2" t="s">
        <v>65</v>
      </c>
      <c r="K8" s="8" t="s">
        <v>66</v>
      </c>
      <c r="L8" s="2" t="s">
        <v>67</v>
      </c>
      <c r="M8" s="9" t="s">
        <v>68</v>
      </c>
      <c r="N8" s="2" t="s">
        <v>69</v>
      </c>
    </row>
    <row r="9" customFormat="false" ht="60" hidden="false" customHeight="true" outlineLevel="0" collapsed="false">
      <c r="A9" s="2" t="n">
        <v>8</v>
      </c>
      <c r="B9" s="2" t="s">
        <v>70</v>
      </c>
      <c r="C9" s="2" t="s">
        <v>60</v>
      </c>
      <c r="D9" s="2" t="s">
        <v>61</v>
      </c>
      <c r="E9" s="2" t="s">
        <v>62</v>
      </c>
      <c r="F9" s="2" t="s">
        <v>71</v>
      </c>
      <c r="G9" s="2" t="s">
        <v>72</v>
      </c>
      <c r="H9" s="3" t="n">
        <v>13000</v>
      </c>
      <c r="I9" s="3" t="n">
        <v>172681.59</v>
      </c>
      <c r="J9" s="2" t="s">
        <v>73</v>
      </c>
      <c r="K9" s="10" t="s">
        <v>74</v>
      </c>
      <c r="L9" s="2" t="s">
        <v>75</v>
      </c>
      <c r="M9" s="9" t="s">
        <v>68</v>
      </c>
      <c r="N9" s="2" t="s">
        <v>76</v>
      </c>
    </row>
    <row r="10" customFormat="false" ht="60" hidden="false" customHeight="true" outlineLevel="0" collapsed="false">
      <c r="A10" s="2" t="n">
        <v>9</v>
      </c>
      <c r="B10" s="2" t="s">
        <v>77</v>
      </c>
      <c r="C10" s="2" t="s">
        <v>60</v>
      </c>
      <c r="D10" s="2" t="s">
        <v>78</v>
      </c>
      <c r="E10" s="2" t="s">
        <v>62</v>
      </c>
      <c r="F10" s="2" t="s">
        <v>79</v>
      </c>
      <c r="G10" s="2" t="s">
        <v>80</v>
      </c>
      <c r="H10" s="3" t="n">
        <v>13000</v>
      </c>
      <c r="I10" s="3" t="n">
        <v>2630626.6</v>
      </c>
      <c r="J10" s="2" t="s">
        <v>81</v>
      </c>
      <c r="K10" s="10" t="s">
        <v>74</v>
      </c>
      <c r="L10" s="2" t="s">
        <v>82</v>
      </c>
      <c r="M10" s="11" t="s">
        <v>83</v>
      </c>
      <c r="N10" s="2" t="s">
        <v>84</v>
      </c>
    </row>
    <row r="11" customFormat="false" ht="60" hidden="false" customHeight="true" outlineLevel="0" collapsed="false">
      <c r="A11" s="2" t="n">
        <v>10</v>
      </c>
      <c r="B11" s="2" t="s">
        <v>85</v>
      </c>
      <c r="C11" s="2" t="s">
        <v>60</v>
      </c>
      <c r="D11" s="2" t="s">
        <v>86</v>
      </c>
      <c r="E11" s="2" t="s">
        <v>87</v>
      </c>
      <c r="F11" s="2" t="s">
        <v>88</v>
      </c>
      <c r="G11" s="2" t="s">
        <v>89</v>
      </c>
      <c r="H11" s="2"/>
      <c r="I11" s="3" t="n">
        <v>254231891.15</v>
      </c>
      <c r="J11" s="2" t="s">
        <v>90</v>
      </c>
      <c r="K11" s="10" t="s">
        <v>74</v>
      </c>
      <c r="L11" s="2" t="s">
        <v>91</v>
      </c>
      <c r="M11" s="11" t="s">
        <v>83</v>
      </c>
      <c r="N11" s="2" t="s">
        <v>92</v>
      </c>
    </row>
    <row r="12" customFormat="false" ht="60" hidden="false" customHeight="true" outlineLevel="0" collapsed="false">
      <c r="A12" s="2" t="n">
        <v>11</v>
      </c>
      <c r="B12" s="2" t="s">
        <v>93</v>
      </c>
      <c r="C12" s="2" t="s">
        <v>60</v>
      </c>
      <c r="D12" s="2" t="s">
        <v>94</v>
      </c>
      <c r="E12" s="2" t="s">
        <v>36</v>
      </c>
      <c r="F12" s="2" t="s">
        <v>95</v>
      </c>
      <c r="G12" s="2" t="s">
        <v>19</v>
      </c>
      <c r="H12" s="3" t="n">
        <v>8765.63</v>
      </c>
      <c r="I12" s="2"/>
      <c r="J12" s="2" t="s">
        <v>96</v>
      </c>
      <c r="K12" s="4" t="s">
        <v>21</v>
      </c>
      <c r="L12" s="2" t="s">
        <v>97</v>
      </c>
      <c r="M12" s="5" t="s">
        <v>23</v>
      </c>
      <c r="N12" s="2" t="s">
        <v>98</v>
      </c>
    </row>
    <row r="13" customFormat="false" ht="60" hidden="false" customHeight="true" outlineLevel="0" collapsed="false">
      <c r="A13" s="2" t="n">
        <v>12</v>
      </c>
      <c r="B13" s="2" t="s">
        <v>99</v>
      </c>
      <c r="C13" s="2" t="s">
        <v>60</v>
      </c>
      <c r="D13" s="2" t="s">
        <v>94</v>
      </c>
      <c r="E13" s="2" t="s">
        <v>36</v>
      </c>
      <c r="F13" s="2" t="s">
        <v>95</v>
      </c>
      <c r="G13" s="2" t="s">
        <v>19</v>
      </c>
      <c r="H13" s="3" t="n">
        <v>8884.53</v>
      </c>
      <c r="I13" s="2"/>
      <c r="J13" s="2" t="s">
        <v>96</v>
      </c>
      <c r="K13" s="4" t="s">
        <v>21</v>
      </c>
      <c r="L13" s="2" t="s">
        <v>100</v>
      </c>
      <c r="M13" s="5" t="s">
        <v>23</v>
      </c>
      <c r="N13" s="2" t="s">
        <v>101</v>
      </c>
    </row>
    <row r="14" customFormat="false" ht="60" hidden="false" customHeight="true" outlineLevel="0" collapsed="false">
      <c r="A14" s="2" t="n">
        <v>13</v>
      </c>
      <c r="B14" s="2" t="s">
        <v>102</v>
      </c>
      <c r="C14" s="2" t="s">
        <v>60</v>
      </c>
      <c r="D14" s="2" t="s">
        <v>94</v>
      </c>
      <c r="E14" s="2" t="s">
        <v>36</v>
      </c>
      <c r="F14" s="2" t="s">
        <v>95</v>
      </c>
      <c r="G14" s="2" t="s">
        <v>19</v>
      </c>
      <c r="H14" s="3" t="n">
        <v>35587.85</v>
      </c>
      <c r="I14" s="2"/>
      <c r="J14" s="2" t="s">
        <v>103</v>
      </c>
      <c r="K14" s="7" t="s">
        <v>39</v>
      </c>
      <c r="L14" s="2" t="s">
        <v>104</v>
      </c>
      <c r="M14" s="5" t="s">
        <v>23</v>
      </c>
      <c r="N14" s="2"/>
    </row>
    <row r="15" customFormat="false" ht="60" hidden="false" customHeight="true" outlineLevel="0" collapsed="false">
      <c r="A15" s="2" t="n">
        <v>14</v>
      </c>
      <c r="B15" s="2" t="s">
        <v>105</v>
      </c>
      <c r="C15" s="2" t="s">
        <v>60</v>
      </c>
      <c r="D15" s="2" t="s">
        <v>94</v>
      </c>
      <c r="E15" s="2" t="s">
        <v>36</v>
      </c>
      <c r="F15" s="2" t="s">
        <v>95</v>
      </c>
      <c r="G15" s="2" t="s">
        <v>19</v>
      </c>
      <c r="H15" s="3" t="n">
        <v>13784</v>
      </c>
      <c r="I15" s="2"/>
      <c r="J15" s="2" t="s">
        <v>106</v>
      </c>
      <c r="K15" s="4" t="s">
        <v>21</v>
      </c>
      <c r="L15" s="2" t="s">
        <v>107</v>
      </c>
      <c r="M15" s="5" t="s">
        <v>23</v>
      </c>
      <c r="N15" s="2"/>
    </row>
    <row r="16" customFormat="false" ht="60" hidden="false" customHeight="true" outlineLevel="0" collapsed="false">
      <c r="A16" s="2" t="n">
        <v>15</v>
      </c>
      <c r="B16" s="2" t="s">
        <v>108</v>
      </c>
      <c r="C16" s="2" t="s">
        <v>60</v>
      </c>
      <c r="D16" s="2" t="s">
        <v>94</v>
      </c>
      <c r="E16" s="2" t="s">
        <v>36</v>
      </c>
      <c r="F16" s="2" t="s">
        <v>95</v>
      </c>
      <c r="G16" s="2" t="s">
        <v>19</v>
      </c>
      <c r="H16" s="2"/>
      <c r="I16" s="2"/>
      <c r="J16" s="2" t="s">
        <v>106</v>
      </c>
      <c r="K16" s="4" t="s">
        <v>21</v>
      </c>
      <c r="L16" s="2" t="s">
        <v>109</v>
      </c>
      <c r="M16" s="5" t="s">
        <v>23</v>
      </c>
      <c r="N16" s="2"/>
    </row>
    <row r="17" customFormat="false" ht="60" hidden="false" customHeight="true" outlineLevel="0" collapsed="false">
      <c r="A17" s="2" t="n">
        <v>16</v>
      </c>
      <c r="B17" s="2" t="s">
        <v>110</v>
      </c>
      <c r="C17" s="2" t="s">
        <v>60</v>
      </c>
      <c r="D17" s="2" t="s">
        <v>111</v>
      </c>
      <c r="E17" s="2" t="s">
        <v>36</v>
      </c>
      <c r="F17" s="2" t="s">
        <v>112</v>
      </c>
      <c r="G17" s="2" t="s">
        <v>45</v>
      </c>
      <c r="H17" s="3" t="n">
        <v>133000</v>
      </c>
      <c r="I17" s="2"/>
      <c r="J17" s="2" t="s">
        <v>113</v>
      </c>
      <c r="K17" s="7" t="s">
        <v>39</v>
      </c>
      <c r="L17" s="2" t="s">
        <v>114</v>
      </c>
      <c r="M17" s="5" t="s">
        <v>23</v>
      </c>
      <c r="N17" s="2"/>
    </row>
    <row r="18" customFormat="false" ht="60" hidden="false" customHeight="true" outlineLevel="0" collapsed="false">
      <c r="A18" s="2" t="n">
        <v>17</v>
      </c>
      <c r="B18" s="2" t="s">
        <v>115</v>
      </c>
      <c r="C18" s="2" t="s">
        <v>60</v>
      </c>
      <c r="D18" s="2" t="s">
        <v>116</v>
      </c>
      <c r="E18" s="2" t="s">
        <v>62</v>
      </c>
      <c r="F18" s="2" t="s">
        <v>117</v>
      </c>
      <c r="G18" s="2" t="s">
        <v>118</v>
      </c>
      <c r="H18" s="2"/>
      <c r="I18" s="2"/>
      <c r="J18" s="2" t="s">
        <v>119</v>
      </c>
      <c r="K18" s="6" t="s">
        <v>31</v>
      </c>
      <c r="L18" s="2" t="s">
        <v>120</v>
      </c>
      <c r="M18" s="5" t="s">
        <v>23</v>
      </c>
      <c r="N18" s="2" t="s">
        <v>121</v>
      </c>
    </row>
    <row r="19" customFormat="false" ht="60" hidden="false" customHeight="true" outlineLevel="0" collapsed="false">
      <c r="A19" s="2" t="n">
        <v>18</v>
      </c>
      <c r="B19" s="2" t="s">
        <v>122</v>
      </c>
      <c r="C19" s="2" t="s">
        <v>60</v>
      </c>
      <c r="D19" s="2" t="s">
        <v>123</v>
      </c>
      <c r="E19" s="2" t="s">
        <v>62</v>
      </c>
      <c r="F19" s="2" t="s">
        <v>124</v>
      </c>
      <c r="G19" s="2" t="s">
        <v>19</v>
      </c>
      <c r="H19" s="3" t="n">
        <v>3791000</v>
      </c>
      <c r="I19" s="2"/>
      <c r="J19" s="2" t="s">
        <v>125</v>
      </c>
      <c r="K19" s="8" t="s">
        <v>66</v>
      </c>
      <c r="L19" s="2" t="s">
        <v>126</v>
      </c>
      <c r="M19" s="5" t="s">
        <v>23</v>
      </c>
      <c r="N19" s="2" t="s">
        <v>127</v>
      </c>
    </row>
    <row r="20" customFormat="false" ht="60" hidden="false" customHeight="true" outlineLevel="0" collapsed="false">
      <c r="A20" s="2" t="n">
        <v>19</v>
      </c>
      <c r="B20" s="2" t="s">
        <v>128</v>
      </c>
      <c r="C20" s="2" t="s">
        <v>60</v>
      </c>
      <c r="D20" s="2" t="s">
        <v>129</v>
      </c>
      <c r="E20" s="2" t="s">
        <v>62</v>
      </c>
      <c r="F20" s="2" t="s">
        <v>124</v>
      </c>
      <c r="G20" s="2" t="s">
        <v>130</v>
      </c>
      <c r="H20" s="3" t="n">
        <v>10000</v>
      </c>
      <c r="I20" s="2"/>
      <c r="J20" s="2" t="s">
        <v>131</v>
      </c>
      <c r="K20" s="8" t="s">
        <v>66</v>
      </c>
      <c r="L20" s="2" t="s">
        <v>132</v>
      </c>
      <c r="M20" s="5" t="s">
        <v>23</v>
      </c>
      <c r="N20" s="2" t="s">
        <v>133</v>
      </c>
    </row>
    <row r="21" customFormat="false" ht="60" hidden="false" customHeight="true" outlineLevel="0" collapsed="false">
      <c r="A21" s="2" t="n">
        <v>20</v>
      </c>
      <c r="B21" s="2" t="s">
        <v>134</v>
      </c>
      <c r="C21" s="2" t="s">
        <v>60</v>
      </c>
      <c r="D21" s="2" t="s">
        <v>129</v>
      </c>
      <c r="E21" s="2" t="s">
        <v>62</v>
      </c>
      <c r="F21" s="2" t="s">
        <v>124</v>
      </c>
      <c r="G21" s="2" t="s">
        <v>130</v>
      </c>
      <c r="H21" s="3" t="n">
        <v>863000</v>
      </c>
      <c r="I21" s="2"/>
      <c r="J21" s="2" t="s">
        <v>135</v>
      </c>
      <c r="K21" s="7" t="s">
        <v>39</v>
      </c>
      <c r="L21" s="2" t="s">
        <v>136</v>
      </c>
      <c r="M21" s="5" t="s">
        <v>23</v>
      </c>
      <c r="N21" s="2"/>
    </row>
    <row r="22" customFormat="false" ht="60" hidden="false" customHeight="true" outlineLevel="0" collapsed="false">
      <c r="A22" s="2" t="n">
        <v>21</v>
      </c>
      <c r="B22" s="2" t="s">
        <v>137</v>
      </c>
      <c r="C22" s="2" t="s">
        <v>60</v>
      </c>
      <c r="D22" s="2" t="s">
        <v>138</v>
      </c>
      <c r="E22" s="2" t="s">
        <v>62</v>
      </c>
      <c r="F22" s="2" t="s">
        <v>124</v>
      </c>
      <c r="G22" s="2" t="s">
        <v>130</v>
      </c>
      <c r="H22" s="2"/>
      <c r="I22" s="2"/>
      <c r="J22" s="2" t="s">
        <v>135</v>
      </c>
      <c r="K22" s="7" t="s">
        <v>39</v>
      </c>
      <c r="L22" s="2" t="s">
        <v>136</v>
      </c>
      <c r="M22" s="5" t="s">
        <v>23</v>
      </c>
      <c r="N22" s="2"/>
    </row>
    <row r="23" customFormat="false" ht="60" hidden="false" customHeight="true" outlineLevel="0" collapsed="false">
      <c r="A23" s="2" t="n">
        <v>22</v>
      </c>
      <c r="B23" s="2" t="s">
        <v>139</v>
      </c>
      <c r="C23" s="2" t="s">
        <v>60</v>
      </c>
      <c r="D23" s="2" t="s">
        <v>140</v>
      </c>
      <c r="E23" s="2" t="s">
        <v>62</v>
      </c>
      <c r="F23" s="2" t="s">
        <v>124</v>
      </c>
      <c r="G23" s="2" t="s">
        <v>19</v>
      </c>
      <c r="H23" s="3" t="n">
        <v>10000</v>
      </c>
      <c r="I23" s="2"/>
      <c r="J23" s="2" t="s">
        <v>141</v>
      </c>
      <c r="K23" s="4" t="s">
        <v>21</v>
      </c>
      <c r="L23" s="2" t="s">
        <v>142</v>
      </c>
      <c r="M23" s="5" t="s">
        <v>23</v>
      </c>
      <c r="N23" s="2"/>
    </row>
    <row r="24" customFormat="false" ht="60" hidden="false" customHeight="true" outlineLevel="0" collapsed="false">
      <c r="A24" s="2" t="n">
        <v>23</v>
      </c>
      <c r="B24" s="2" t="s">
        <v>143</v>
      </c>
      <c r="C24" s="2" t="s">
        <v>60</v>
      </c>
      <c r="D24" s="2" t="s">
        <v>144</v>
      </c>
      <c r="E24" s="2" t="s">
        <v>36</v>
      </c>
      <c r="F24" s="2" t="s">
        <v>145</v>
      </c>
      <c r="G24" s="2" t="s">
        <v>146</v>
      </c>
      <c r="H24" s="3" t="n">
        <v>11834.21</v>
      </c>
      <c r="I24" s="2"/>
      <c r="J24" s="2" t="s">
        <v>147</v>
      </c>
      <c r="K24" s="4" t="s">
        <v>21</v>
      </c>
      <c r="L24" s="2" t="s">
        <v>148</v>
      </c>
      <c r="M24" s="5" t="s">
        <v>23</v>
      </c>
      <c r="N24" s="2"/>
    </row>
    <row r="25" customFormat="false" ht="60" hidden="false" customHeight="true" outlineLevel="0" collapsed="false">
      <c r="A25" s="2" t="n">
        <v>24</v>
      </c>
      <c r="B25" s="2" t="s">
        <v>149</v>
      </c>
      <c r="C25" s="2" t="s">
        <v>60</v>
      </c>
      <c r="D25" s="2" t="s">
        <v>94</v>
      </c>
      <c r="E25" s="2" t="s">
        <v>62</v>
      </c>
      <c r="F25" s="2" t="s">
        <v>88</v>
      </c>
      <c r="G25" s="2" t="s">
        <v>150</v>
      </c>
      <c r="H25" s="2"/>
      <c r="I25" s="2"/>
      <c r="J25" s="2" t="s">
        <v>151</v>
      </c>
      <c r="K25" s="8" t="s">
        <v>66</v>
      </c>
      <c r="L25" s="2" t="s">
        <v>152</v>
      </c>
      <c r="M25" s="5" t="s">
        <v>23</v>
      </c>
      <c r="N25" s="2" t="s">
        <v>153</v>
      </c>
    </row>
    <row r="26" customFormat="false" ht="60" hidden="false" customHeight="true" outlineLevel="0" collapsed="false">
      <c r="A26" s="2" t="n">
        <v>25</v>
      </c>
      <c r="B26" s="2" t="s">
        <v>154</v>
      </c>
      <c r="C26" s="2" t="s">
        <v>60</v>
      </c>
      <c r="D26" s="2" t="s">
        <v>155</v>
      </c>
      <c r="E26" s="2" t="s">
        <v>62</v>
      </c>
      <c r="F26" s="2" t="s">
        <v>156</v>
      </c>
      <c r="G26" s="2" t="s">
        <v>130</v>
      </c>
      <c r="H26" s="2"/>
      <c r="I26" s="3" t="n">
        <v>409009.35</v>
      </c>
      <c r="J26" s="2" t="s">
        <v>157</v>
      </c>
      <c r="K26" s="7" t="s">
        <v>39</v>
      </c>
      <c r="L26" s="2" t="s">
        <v>158</v>
      </c>
      <c r="M26" s="5" t="s">
        <v>23</v>
      </c>
      <c r="N26" s="2"/>
    </row>
    <row r="27" customFormat="false" ht="60" hidden="false" customHeight="true" outlineLevel="0" collapsed="false">
      <c r="A27" s="2" t="n">
        <v>26</v>
      </c>
      <c r="B27" s="2" t="s">
        <v>159</v>
      </c>
      <c r="C27" s="2" t="s">
        <v>60</v>
      </c>
      <c r="D27" s="2" t="s">
        <v>155</v>
      </c>
      <c r="E27" s="2" t="s">
        <v>62</v>
      </c>
      <c r="F27" s="2" t="s">
        <v>160</v>
      </c>
      <c r="G27" s="2" t="s">
        <v>29</v>
      </c>
      <c r="H27" s="2"/>
      <c r="I27" s="2"/>
      <c r="J27" s="2" t="s">
        <v>161</v>
      </c>
      <c r="K27" s="8" t="s">
        <v>66</v>
      </c>
      <c r="L27" s="2" t="s">
        <v>162</v>
      </c>
      <c r="M27" s="5" t="s">
        <v>23</v>
      </c>
      <c r="N27" s="2" t="s">
        <v>163</v>
      </c>
    </row>
    <row r="28" customFormat="false" ht="60" hidden="false" customHeight="true" outlineLevel="0" collapsed="false">
      <c r="A28" s="2" t="n">
        <v>27</v>
      </c>
      <c r="B28" s="2" t="s">
        <v>164</v>
      </c>
      <c r="C28" s="2" t="s">
        <v>60</v>
      </c>
      <c r="D28" s="2" t="s">
        <v>165</v>
      </c>
      <c r="E28" s="2" t="s">
        <v>62</v>
      </c>
      <c r="F28" s="2" t="s">
        <v>160</v>
      </c>
      <c r="G28" s="2" t="s">
        <v>29</v>
      </c>
      <c r="H28" s="2"/>
      <c r="I28" s="2"/>
      <c r="J28" s="2" t="s">
        <v>166</v>
      </c>
      <c r="K28" s="7" t="s">
        <v>39</v>
      </c>
      <c r="L28" s="2" t="s">
        <v>167</v>
      </c>
      <c r="M28" s="5" t="s">
        <v>23</v>
      </c>
      <c r="N28" s="2"/>
    </row>
    <row r="29" customFormat="false" ht="60" hidden="false" customHeight="true" outlineLevel="0" collapsed="false">
      <c r="A29" s="2" t="n">
        <v>28</v>
      </c>
      <c r="B29" s="2" t="s">
        <v>168</v>
      </c>
      <c r="C29" s="2" t="s">
        <v>60</v>
      </c>
      <c r="D29" s="2" t="s">
        <v>155</v>
      </c>
      <c r="E29" s="2" t="s">
        <v>36</v>
      </c>
      <c r="F29" s="2" t="s">
        <v>169</v>
      </c>
      <c r="G29" s="2" t="s">
        <v>19</v>
      </c>
      <c r="H29" s="3" t="n">
        <v>37199.92</v>
      </c>
      <c r="I29" s="2"/>
      <c r="J29" s="2" t="s">
        <v>170</v>
      </c>
      <c r="K29" s="7" t="s">
        <v>39</v>
      </c>
      <c r="L29" s="2" t="s">
        <v>171</v>
      </c>
      <c r="M29" s="5" t="s">
        <v>23</v>
      </c>
      <c r="N29" s="2"/>
    </row>
    <row r="30" customFormat="false" ht="60" hidden="false" customHeight="true" outlineLevel="0" collapsed="false">
      <c r="A30" s="2" t="n">
        <v>29</v>
      </c>
      <c r="B30" s="2" t="s">
        <v>172</v>
      </c>
      <c r="C30" s="2" t="s">
        <v>60</v>
      </c>
      <c r="D30" s="2" t="s">
        <v>173</v>
      </c>
      <c r="E30" s="2" t="s">
        <v>174</v>
      </c>
      <c r="F30" s="2" t="s">
        <v>175</v>
      </c>
      <c r="G30" s="2" t="s">
        <v>130</v>
      </c>
      <c r="H30" s="2"/>
      <c r="I30" s="2"/>
      <c r="J30" s="2" t="s">
        <v>176</v>
      </c>
      <c r="K30" s="7" t="s">
        <v>39</v>
      </c>
      <c r="L30" s="2" t="s">
        <v>177</v>
      </c>
      <c r="M30" s="5" t="s">
        <v>23</v>
      </c>
      <c r="N30" s="2" t="s">
        <v>178</v>
      </c>
    </row>
    <row r="31" customFormat="false" ht="60" hidden="false" customHeight="true" outlineLevel="0" collapsed="false">
      <c r="A31" s="2" t="n">
        <v>30</v>
      </c>
      <c r="B31" s="2" t="s">
        <v>179</v>
      </c>
      <c r="C31" s="2" t="s">
        <v>60</v>
      </c>
      <c r="D31" s="2" t="s">
        <v>155</v>
      </c>
      <c r="E31" s="2" t="s">
        <v>36</v>
      </c>
      <c r="F31" s="2" t="s">
        <v>180</v>
      </c>
      <c r="G31" s="2" t="s">
        <v>130</v>
      </c>
      <c r="H31" s="3" t="n">
        <v>7854.25</v>
      </c>
      <c r="I31" s="2"/>
      <c r="J31" s="2" t="s">
        <v>181</v>
      </c>
      <c r="K31" s="4" t="s">
        <v>21</v>
      </c>
      <c r="L31" s="2" t="s">
        <v>182</v>
      </c>
      <c r="M31" s="5" t="s">
        <v>23</v>
      </c>
      <c r="N31" s="2"/>
    </row>
    <row r="32" customFormat="false" ht="60" hidden="false" customHeight="true" outlineLevel="0" collapsed="false">
      <c r="A32" s="2" t="n">
        <v>31</v>
      </c>
      <c r="B32" s="2" t="s">
        <v>183</v>
      </c>
      <c r="C32" s="2" t="s">
        <v>60</v>
      </c>
      <c r="D32" s="2" t="s">
        <v>155</v>
      </c>
      <c r="E32" s="2" t="s">
        <v>62</v>
      </c>
      <c r="F32" s="2" t="s">
        <v>184</v>
      </c>
      <c r="G32" s="2" t="s">
        <v>130</v>
      </c>
      <c r="H32" s="3" t="n">
        <v>112837.88</v>
      </c>
      <c r="I32" s="3" t="n">
        <v>1549272.93</v>
      </c>
      <c r="J32" s="2" t="s">
        <v>185</v>
      </c>
      <c r="K32" s="8" t="s">
        <v>66</v>
      </c>
      <c r="L32" s="2" t="s">
        <v>186</v>
      </c>
      <c r="M32" s="9" t="s">
        <v>68</v>
      </c>
      <c r="N32" s="2" t="s">
        <v>187</v>
      </c>
    </row>
    <row r="33" customFormat="false" ht="60" hidden="false" customHeight="true" outlineLevel="0" collapsed="false">
      <c r="A33" s="2" t="n">
        <v>32</v>
      </c>
      <c r="B33" s="2" t="s">
        <v>188</v>
      </c>
      <c r="C33" s="2" t="s">
        <v>60</v>
      </c>
      <c r="D33" s="2" t="s">
        <v>189</v>
      </c>
      <c r="E33" s="2" t="s">
        <v>62</v>
      </c>
      <c r="F33" s="2" t="s">
        <v>190</v>
      </c>
      <c r="G33" s="2" t="s">
        <v>45</v>
      </c>
      <c r="H33" s="2"/>
      <c r="I33" s="3" t="n">
        <v>32602709.33</v>
      </c>
      <c r="J33" s="2" t="s">
        <v>191</v>
      </c>
      <c r="K33" s="10" t="s">
        <v>74</v>
      </c>
      <c r="L33" s="2" t="s">
        <v>192</v>
      </c>
      <c r="M33" s="11" t="s">
        <v>83</v>
      </c>
      <c r="N33" s="2" t="s">
        <v>193</v>
      </c>
    </row>
    <row r="34" customFormat="false" ht="60" hidden="false" customHeight="true" outlineLevel="0" collapsed="false">
      <c r="A34" s="2" t="n">
        <v>33</v>
      </c>
      <c r="B34" s="2" t="s">
        <v>194</v>
      </c>
      <c r="C34" s="2" t="s">
        <v>60</v>
      </c>
      <c r="D34" s="2" t="s">
        <v>155</v>
      </c>
      <c r="E34" s="2" t="s">
        <v>62</v>
      </c>
      <c r="F34" s="2" t="s">
        <v>195</v>
      </c>
      <c r="G34" s="2" t="s">
        <v>196</v>
      </c>
      <c r="H34" s="3" t="n">
        <v>55338.06</v>
      </c>
      <c r="I34" s="3" t="n">
        <v>713312</v>
      </c>
      <c r="J34" s="2" t="s">
        <v>197</v>
      </c>
      <c r="K34" s="8" t="s">
        <v>66</v>
      </c>
      <c r="L34" s="2" t="s">
        <v>198</v>
      </c>
      <c r="M34" s="5" t="s">
        <v>23</v>
      </c>
      <c r="N34" s="2" t="s">
        <v>199</v>
      </c>
    </row>
    <row r="35" customFormat="false" ht="60" hidden="false" customHeight="true" outlineLevel="0" collapsed="false">
      <c r="A35" s="2" t="n">
        <v>34</v>
      </c>
      <c r="B35" s="2" t="s">
        <v>200</v>
      </c>
      <c r="C35" s="2" t="s">
        <v>60</v>
      </c>
      <c r="D35" s="2" t="s">
        <v>201</v>
      </c>
      <c r="E35" s="2" t="s">
        <v>36</v>
      </c>
      <c r="F35" s="2" t="s">
        <v>202</v>
      </c>
      <c r="G35" s="2" t="s">
        <v>29</v>
      </c>
      <c r="H35" s="3" t="n">
        <v>112837.88</v>
      </c>
      <c r="I35" s="2"/>
      <c r="J35" s="2" t="s">
        <v>203</v>
      </c>
      <c r="K35" s="7" t="s">
        <v>39</v>
      </c>
      <c r="L35" s="2" t="s">
        <v>204</v>
      </c>
      <c r="M35" s="5" t="s">
        <v>23</v>
      </c>
      <c r="N35" s="2" t="s">
        <v>205</v>
      </c>
    </row>
    <row r="36" customFormat="false" ht="60" hidden="false" customHeight="true" outlineLevel="0" collapsed="false">
      <c r="A36" s="2" t="n">
        <v>35</v>
      </c>
      <c r="B36" s="2" t="s">
        <v>206</v>
      </c>
      <c r="C36" s="2" t="s">
        <v>60</v>
      </c>
      <c r="D36" s="2" t="s">
        <v>207</v>
      </c>
      <c r="E36" s="2" t="s">
        <v>36</v>
      </c>
      <c r="F36" s="2" t="s">
        <v>208</v>
      </c>
      <c r="G36" s="2" t="s">
        <v>45</v>
      </c>
      <c r="H36" s="2"/>
      <c r="I36" s="2"/>
      <c r="J36" s="2" t="s">
        <v>209</v>
      </c>
      <c r="K36" s="8" t="s">
        <v>66</v>
      </c>
      <c r="L36" s="2" t="s">
        <v>210</v>
      </c>
      <c r="M36" s="5" t="s">
        <v>23</v>
      </c>
      <c r="N36" s="2" t="s">
        <v>211</v>
      </c>
    </row>
    <row r="37" customFormat="false" ht="60" hidden="false" customHeight="true" outlineLevel="0" collapsed="false">
      <c r="A37" s="2" t="n">
        <v>36</v>
      </c>
      <c r="B37" s="2" t="s">
        <v>212</v>
      </c>
      <c r="C37" s="2" t="s">
        <v>60</v>
      </c>
      <c r="D37" s="2" t="s">
        <v>155</v>
      </c>
      <c r="E37" s="2" t="s">
        <v>62</v>
      </c>
      <c r="F37" s="2" t="s">
        <v>213</v>
      </c>
      <c r="G37" s="2" t="s">
        <v>19</v>
      </c>
      <c r="H37" s="2"/>
      <c r="I37" s="2"/>
      <c r="J37" s="2" t="s">
        <v>214</v>
      </c>
      <c r="K37" s="6" t="s">
        <v>31</v>
      </c>
      <c r="L37" s="2" t="s">
        <v>215</v>
      </c>
      <c r="M37" s="5" t="s">
        <v>23</v>
      </c>
      <c r="N37" s="2"/>
    </row>
    <row r="38" customFormat="false" ht="60" hidden="false" customHeight="true" outlineLevel="0" collapsed="false">
      <c r="A38" s="2" t="n">
        <v>37</v>
      </c>
      <c r="B38" s="2" t="s">
        <v>216</v>
      </c>
      <c r="C38" s="2" t="s">
        <v>60</v>
      </c>
      <c r="D38" s="2" t="s">
        <v>155</v>
      </c>
      <c r="E38" s="2" t="s">
        <v>62</v>
      </c>
      <c r="F38" s="2" t="s">
        <v>217</v>
      </c>
      <c r="G38" s="2" t="s">
        <v>130</v>
      </c>
      <c r="H38" s="2"/>
      <c r="I38" s="2"/>
      <c r="J38" s="2" t="s">
        <v>214</v>
      </c>
      <c r="K38" s="6" t="s">
        <v>31</v>
      </c>
      <c r="L38" s="2" t="s">
        <v>215</v>
      </c>
      <c r="M38" s="5" t="s">
        <v>23</v>
      </c>
      <c r="N38" s="2"/>
    </row>
    <row r="39" customFormat="false" ht="60" hidden="false" customHeight="true" outlineLevel="0" collapsed="false">
      <c r="A39" s="2" t="n">
        <v>38</v>
      </c>
      <c r="B39" s="2" t="s">
        <v>218</v>
      </c>
      <c r="C39" s="2" t="s">
        <v>60</v>
      </c>
      <c r="D39" s="2" t="s">
        <v>155</v>
      </c>
      <c r="E39" s="2" t="s">
        <v>62</v>
      </c>
      <c r="F39" s="2" t="s">
        <v>219</v>
      </c>
      <c r="G39" s="2" t="s">
        <v>130</v>
      </c>
      <c r="H39" s="2"/>
      <c r="I39" s="2"/>
      <c r="J39" s="2" t="s">
        <v>220</v>
      </c>
      <c r="K39" s="8" t="s">
        <v>66</v>
      </c>
      <c r="L39" s="2" t="s">
        <v>221</v>
      </c>
      <c r="M39" s="5" t="s">
        <v>23</v>
      </c>
      <c r="N39" s="2" t="s">
        <v>222</v>
      </c>
    </row>
    <row r="40" customFormat="false" ht="60" hidden="false" customHeight="true" outlineLevel="0" collapsed="false">
      <c r="A40" s="2" t="n">
        <v>39</v>
      </c>
      <c r="B40" s="2" t="s">
        <v>223</v>
      </c>
      <c r="C40" s="2" t="s">
        <v>224</v>
      </c>
      <c r="D40" s="2" t="s">
        <v>225</v>
      </c>
      <c r="E40" s="2" t="s">
        <v>226</v>
      </c>
      <c r="F40" s="2" t="s">
        <v>227</v>
      </c>
      <c r="G40" s="2" t="s">
        <v>228</v>
      </c>
      <c r="H40" s="2"/>
      <c r="I40" s="2"/>
      <c r="J40" s="2" t="s">
        <v>229</v>
      </c>
      <c r="K40" s="10" t="s">
        <v>74</v>
      </c>
      <c r="L40" s="2" t="s">
        <v>230</v>
      </c>
      <c r="M40" s="9" t="s">
        <v>68</v>
      </c>
      <c r="N40" s="2" t="s">
        <v>231</v>
      </c>
    </row>
    <row r="41" customFormat="false" ht="60" hidden="false" customHeight="true" outlineLevel="0" collapsed="false">
      <c r="A41" s="2" t="n">
        <v>40</v>
      </c>
      <c r="B41" s="2" t="s">
        <v>232</v>
      </c>
      <c r="C41" s="2" t="s">
        <v>224</v>
      </c>
      <c r="D41" s="2" t="s">
        <v>94</v>
      </c>
      <c r="E41" s="2" t="s">
        <v>62</v>
      </c>
      <c r="F41" s="2" t="s">
        <v>227</v>
      </c>
      <c r="G41" s="2" t="s">
        <v>45</v>
      </c>
      <c r="H41" s="2"/>
      <c r="I41" s="2"/>
      <c r="J41" s="2" t="s">
        <v>233</v>
      </c>
      <c r="K41" s="8" t="s">
        <v>66</v>
      </c>
      <c r="L41" s="2" t="s">
        <v>234</v>
      </c>
      <c r="M41" s="9" t="s">
        <v>68</v>
      </c>
      <c r="N41" s="2" t="s">
        <v>235</v>
      </c>
    </row>
    <row r="42" customFormat="false" ht="60" hidden="false" customHeight="true" outlineLevel="0" collapsed="false">
      <c r="A42" s="2" t="n">
        <v>41</v>
      </c>
      <c r="B42" s="2" t="s">
        <v>236</v>
      </c>
      <c r="C42" s="2" t="s">
        <v>60</v>
      </c>
      <c r="D42" s="2" t="s">
        <v>225</v>
      </c>
      <c r="E42" s="2" t="s">
        <v>226</v>
      </c>
      <c r="F42" s="2" t="s">
        <v>237</v>
      </c>
      <c r="G42" s="2" t="s">
        <v>238</v>
      </c>
      <c r="H42" s="2"/>
      <c r="I42" s="2"/>
      <c r="J42" s="2" t="s">
        <v>239</v>
      </c>
      <c r="K42" s="7" t="s">
        <v>39</v>
      </c>
      <c r="L42" s="2" t="s">
        <v>240</v>
      </c>
      <c r="M42" s="5" t="s">
        <v>23</v>
      </c>
      <c r="N42" s="2" t="s">
        <v>241</v>
      </c>
    </row>
    <row r="43" customFormat="false" ht="60" hidden="false" customHeight="true" outlineLevel="0" collapsed="false">
      <c r="A43" s="2" t="n">
        <v>42</v>
      </c>
      <c r="B43" s="2" t="s">
        <v>242</v>
      </c>
      <c r="C43" s="2" t="s">
        <v>60</v>
      </c>
      <c r="D43" s="2" t="s">
        <v>243</v>
      </c>
      <c r="E43" s="2" t="s">
        <v>17</v>
      </c>
      <c r="F43" s="2" t="s">
        <v>244</v>
      </c>
      <c r="G43" s="2" t="s">
        <v>29</v>
      </c>
      <c r="H43" s="3" t="n">
        <v>104788</v>
      </c>
      <c r="I43" s="2"/>
      <c r="J43" s="2" t="s">
        <v>245</v>
      </c>
      <c r="K43" s="6" t="s">
        <v>31</v>
      </c>
      <c r="L43" s="2" t="s">
        <v>246</v>
      </c>
      <c r="M43" s="5" t="s">
        <v>23</v>
      </c>
      <c r="N43" s="2" t="s">
        <v>247</v>
      </c>
    </row>
    <row r="44" customFormat="false" ht="60" hidden="false" customHeight="true" outlineLevel="0" collapsed="false">
      <c r="A44" s="2" t="n">
        <v>43</v>
      </c>
      <c r="B44" s="2" t="s">
        <v>248</v>
      </c>
      <c r="C44" s="2" t="s">
        <v>249</v>
      </c>
      <c r="D44" s="2" t="s">
        <v>250</v>
      </c>
      <c r="E44" s="2" t="s">
        <v>36</v>
      </c>
      <c r="F44" s="2" t="s">
        <v>251</v>
      </c>
      <c r="G44" s="2" t="s">
        <v>130</v>
      </c>
      <c r="H44" s="3" t="n">
        <v>1000000</v>
      </c>
      <c r="I44" s="2"/>
      <c r="J44" s="2" t="s">
        <v>252</v>
      </c>
      <c r="K44" s="8" t="s">
        <v>66</v>
      </c>
      <c r="L44" s="2" t="s">
        <v>253</v>
      </c>
      <c r="M44" s="5" t="s">
        <v>23</v>
      </c>
      <c r="N44" s="2" t="s">
        <v>254</v>
      </c>
    </row>
    <row r="45" customFormat="false" ht="60" hidden="false" customHeight="true" outlineLevel="0" collapsed="false">
      <c r="A45" s="2" t="n">
        <v>44</v>
      </c>
      <c r="B45" s="2" t="s">
        <v>255</v>
      </c>
      <c r="C45" s="2" t="s">
        <v>256</v>
      </c>
      <c r="D45" s="2" t="s">
        <v>155</v>
      </c>
      <c r="E45" s="2" t="s">
        <v>62</v>
      </c>
      <c r="F45" s="2" t="s">
        <v>257</v>
      </c>
      <c r="G45" s="2" t="s">
        <v>258</v>
      </c>
      <c r="H45" s="2"/>
      <c r="I45" s="3" t="n">
        <v>292000</v>
      </c>
      <c r="J45" s="2" t="s">
        <v>259</v>
      </c>
      <c r="K45" s="8" t="s">
        <v>66</v>
      </c>
      <c r="L45" s="2" t="s">
        <v>260</v>
      </c>
      <c r="M45" s="5" t="s">
        <v>23</v>
      </c>
      <c r="N45" s="2" t="s">
        <v>261</v>
      </c>
    </row>
    <row r="46" customFormat="false" ht="60" hidden="false" customHeight="true" outlineLevel="0" collapsed="false">
      <c r="A46" s="2" t="n">
        <v>45</v>
      </c>
      <c r="B46" s="2" t="s">
        <v>262</v>
      </c>
      <c r="C46" s="2" t="s">
        <v>256</v>
      </c>
      <c r="D46" s="2" t="s">
        <v>155</v>
      </c>
      <c r="E46" s="2" t="s">
        <v>36</v>
      </c>
      <c r="F46" s="2" t="s">
        <v>263</v>
      </c>
      <c r="G46" s="2" t="s">
        <v>130</v>
      </c>
      <c r="H46" s="2"/>
      <c r="I46" s="3" t="n">
        <v>2845378.25</v>
      </c>
      <c r="J46" s="2" t="s">
        <v>264</v>
      </c>
      <c r="K46" s="10" t="s">
        <v>74</v>
      </c>
      <c r="L46" s="2" t="s">
        <v>265</v>
      </c>
      <c r="M46" s="5" t="s">
        <v>23</v>
      </c>
      <c r="N46" s="2" t="s">
        <v>266</v>
      </c>
    </row>
    <row r="47" customFormat="false" ht="60" hidden="false" customHeight="true" outlineLevel="0" collapsed="false">
      <c r="A47" s="2" t="n">
        <v>46</v>
      </c>
      <c r="B47" s="2" t="s">
        <v>267</v>
      </c>
      <c r="C47" s="2" t="s">
        <v>256</v>
      </c>
      <c r="D47" s="2" t="s">
        <v>155</v>
      </c>
      <c r="E47" s="2" t="s">
        <v>62</v>
      </c>
      <c r="F47" s="2" t="s">
        <v>268</v>
      </c>
      <c r="G47" s="2" t="s">
        <v>130</v>
      </c>
      <c r="H47" s="2"/>
      <c r="I47" s="3" t="n">
        <v>167651.86</v>
      </c>
      <c r="J47" s="2" t="s">
        <v>269</v>
      </c>
      <c r="K47" s="7" t="s">
        <v>39</v>
      </c>
      <c r="L47" s="2" t="s">
        <v>270</v>
      </c>
      <c r="M47" s="5" t="s">
        <v>23</v>
      </c>
      <c r="N47" s="2"/>
    </row>
    <row r="48" customFormat="false" ht="60" hidden="false" customHeight="true" outlineLevel="0" collapsed="false">
      <c r="A48" s="2" t="n">
        <v>47</v>
      </c>
      <c r="B48" s="2" t="s">
        <v>271</v>
      </c>
      <c r="C48" s="2" t="s">
        <v>256</v>
      </c>
      <c r="D48" s="2" t="s">
        <v>94</v>
      </c>
      <c r="E48" s="2" t="s">
        <v>62</v>
      </c>
      <c r="F48" s="2" t="s">
        <v>272</v>
      </c>
      <c r="G48" s="2" t="s">
        <v>130</v>
      </c>
      <c r="H48" s="2"/>
      <c r="I48" s="2"/>
      <c r="J48" s="2" t="s">
        <v>273</v>
      </c>
      <c r="K48" s="8" t="s">
        <v>66</v>
      </c>
      <c r="L48" s="2" t="s">
        <v>274</v>
      </c>
      <c r="M48" s="5" t="s">
        <v>23</v>
      </c>
      <c r="N48" s="2" t="s">
        <v>275</v>
      </c>
    </row>
    <row r="49" customFormat="false" ht="60" hidden="false" customHeight="true" outlineLevel="0" collapsed="false">
      <c r="A49" s="2" t="n">
        <v>48</v>
      </c>
      <c r="B49" s="2" t="s">
        <v>276</v>
      </c>
      <c r="C49" s="2" t="s">
        <v>256</v>
      </c>
      <c r="D49" s="2" t="s">
        <v>155</v>
      </c>
      <c r="E49" s="2" t="s">
        <v>62</v>
      </c>
      <c r="F49" s="2" t="s">
        <v>272</v>
      </c>
      <c r="G49" s="2" t="s">
        <v>130</v>
      </c>
      <c r="H49" s="2"/>
      <c r="I49" s="3" t="n">
        <v>407823.07</v>
      </c>
      <c r="J49" s="2" t="s">
        <v>277</v>
      </c>
      <c r="K49" s="10" t="s">
        <v>74</v>
      </c>
      <c r="L49" s="2" t="s">
        <v>278</v>
      </c>
      <c r="M49" s="5" t="s">
        <v>23</v>
      </c>
      <c r="N49" s="2" t="s">
        <v>279</v>
      </c>
    </row>
    <row r="50" customFormat="false" ht="60" hidden="false" customHeight="true" outlineLevel="0" collapsed="false">
      <c r="A50" s="2" t="n">
        <v>49</v>
      </c>
      <c r="B50" s="2" t="s">
        <v>280</v>
      </c>
      <c r="C50" s="2" t="s">
        <v>256</v>
      </c>
      <c r="D50" s="2" t="s">
        <v>155</v>
      </c>
      <c r="E50" s="2" t="s">
        <v>62</v>
      </c>
      <c r="F50" s="2" t="s">
        <v>281</v>
      </c>
      <c r="G50" s="2" t="s">
        <v>19</v>
      </c>
      <c r="H50" s="3" t="n">
        <v>59252.46</v>
      </c>
      <c r="I50" s="2"/>
      <c r="J50" s="2" t="s">
        <v>282</v>
      </c>
      <c r="K50" s="7" t="s">
        <v>39</v>
      </c>
      <c r="L50" s="2" t="s">
        <v>283</v>
      </c>
      <c r="M50" s="5" t="s">
        <v>23</v>
      </c>
      <c r="N50" s="2"/>
    </row>
    <row r="51" customFormat="false" ht="60" hidden="false" customHeight="true" outlineLevel="0" collapsed="false">
      <c r="A51" s="2" t="n">
        <v>50</v>
      </c>
      <c r="B51" s="2" t="s">
        <v>284</v>
      </c>
      <c r="C51" s="2" t="s">
        <v>256</v>
      </c>
      <c r="D51" s="2" t="s">
        <v>155</v>
      </c>
      <c r="E51" s="2" t="s">
        <v>62</v>
      </c>
      <c r="F51" s="2" t="s">
        <v>281</v>
      </c>
      <c r="G51" s="2" t="s">
        <v>285</v>
      </c>
      <c r="H51" s="3" t="n">
        <v>31513.89</v>
      </c>
      <c r="I51" s="2"/>
      <c r="J51" s="2" t="s">
        <v>286</v>
      </c>
      <c r="K51" s="7" t="s">
        <v>39</v>
      </c>
      <c r="L51" s="2" t="s">
        <v>287</v>
      </c>
      <c r="M51" s="5" t="s">
        <v>23</v>
      </c>
      <c r="N51" s="2"/>
    </row>
    <row r="52" customFormat="false" ht="60" hidden="false" customHeight="true" outlineLevel="0" collapsed="false">
      <c r="A52" s="2" t="n">
        <v>51</v>
      </c>
      <c r="B52" s="2" t="s">
        <v>288</v>
      </c>
      <c r="C52" s="2" t="s">
        <v>60</v>
      </c>
      <c r="D52" s="2" t="s">
        <v>155</v>
      </c>
      <c r="E52" s="2" t="s">
        <v>62</v>
      </c>
      <c r="F52" s="2" t="s">
        <v>289</v>
      </c>
      <c r="G52" s="2" t="s">
        <v>290</v>
      </c>
      <c r="H52" s="2"/>
      <c r="I52" s="2"/>
      <c r="J52" s="2" t="s">
        <v>291</v>
      </c>
      <c r="K52" s="4" t="s">
        <v>21</v>
      </c>
      <c r="L52" s="2" t="s">
        <v>292</v>
      </c>
      <c r="M52" s="5" t="s">
        <v>23</v>
      </c>
      <c r="N52" s="2" t="s">
        <v>293</v>
      </c>
    </row>
    <row r="53" customFormat="false" ht="60" hidden="false" customHeight="true" outlineLevel="0" collapsed="false">
      <c r="A53" s="2" t="n">
        <v>52</v>
      </c>
      <c r="B53" s="2" t="s">
        <v>294</v>
      </c>
      <c r="C53" s="2" t="s">
        <v>295</v>
      </c>
      <c r="D53" s="2" t="s">
        <v>296</v>
      </c>
      <c r="E53" s="2" t="s">
        <v>36</v>
      </c>
      <c r="F53" s="2" t="s">
        <v>297</v>
      </c>
      <c r="G53" s="2" t="s">
        <v>130</v>
      </c>
      <c r="H53" s="2"/>
      <c r="I53" s="2"/>
      <c r="J53" s="2" t="s">
        <v>298</v>
      </c>
      <c r="K53" s="7" t="s">
        <v>39</v>
      </c>
      <c r="L53" s="2" t="s">
        <v>299</v>
      </c>
      <c r="M53" s="5" t="s">
        <v>23</v>
      </c>
      <c r="N53" s="2"/>
    </row>
    <row r="54" customFormat="false" ht="60" hidden="false" customHeight="true" outlineLevel="0" collapsed="false">
      <c r="A54" s="2" t="n">
        <v>53</v>
      </c>
      <c r="B54" s="2" t="s">
        <v>300</v>
      </c>
      <c r="C54" s="2" t="s">
        <v>301</v>
      </c>
      <c r="D54" s="2" t="s">
        <v>94</v>
      </c>
      <c r="E54" s="2" t="s">
        <v>62</v>
      </c>
      <c r="F54" s="2" t="s">
        <v>302</v>
      </c>
      <c r="G54" s="2" t="s">
        <v>19</v>
      </c>
      <c r="H54" s="2"/>
      <c r="I54" s="3" t="n">
        <v>212395.11</v>
      </c>
      <c r="J54" s="2" t="s">
        <v>303</v>
      </c>
      <c r="K54" s="10" t="s">
        <v>74</v>
      </c>
      <c r="L54" s="2" t="s">
        <v>304</v>
      </c>
      <c r="M54" s="5" t="s">
        <v>23</v>
      </c>
      <c r="N54" s="2" t="s">
        <v>305</v>
      </c>
    </row>
    <row r="55" customFormat="false" ht="60" hidden="false" customHeight="true" outlineLevel="0" collapsed="false">
      <c r="A55" s="2" t="n">
        <v>54</v>
      </c>
      <c r="B55" s="2" t="s">
        <v>306</v>
      </c>
      <c r="C55" s="2" t="s">
        <v>307</v>
      </c>
      <c r="D55" s="2" t="s">
        <v>155</v>
      </c>
      <c r="E55" s="2" t="s">
        <v>36</v>
      </c>
      <c r="F55" s="2" t="s">
        <v>308</v>
      </c>
      <c r="G55" s="2" t="s">
        <v>19</v>
      </c>
      <c r="H55" s="3" t="n">
        <v>29582.36</v>
      </c>
      <c r="I55" s="2"/>
      <c r="J55" s="2" t="s">
        <v>309</v>
      </c>
      <c r="K55" s="7" t="s">
        <v>39</v>
      </c>
      <c r="L55" s="2" t="s">
        <v>310</v>
      </c>
      <c r="M55" s="5" t="s">
        <v>23</v>
      </c>
      <c r="N55" s="2"/>
    </row>
    <row r="56" customFormat="false" ht="60" hidden="false" customHeight="true" outlineLevel="0" collapsed="false">
      <c r="A56" s="2" t="n">
        <v>55</v>
      </c>
      <c r="B56" s="2" t="s">
        <v>311</v>
      </c>
      <c r="C56" s="2" t="s">
        <v>312</v>
      </c>
      <c r="D56" s="2" t="s">
        <v>155</v>
      </c>
      <c r="E56" s="2" t="s">
        <v>36</v>
      </c>
      <c r="F56" s="2" t="s">
        <v>313</v>
      </c>
      <c r="G56" s="2" t="s">
        <v>19</v>
      </c>
      <c r="H56" s="3" t="n">
        <v>378939.7</v>
      </c>
      <c r="I56" s="2"/>
      <c r="J56" s="2" t="s">
        <v>314</v>
      </c>
      <c r="K56" s="8" t="s">
        <v>66</v>
      </c>
      <c r="L56" s="2" t="s">
        <v>315</v>
      </c>
      <c r="M56" s="5" t="s">
        <v>23</v>
      </c>
      <c r="N56" s="2" t="s">
        <v>316</v>
      </c>
    </row>
    <row r="57" customFormat="false" ht="60" hidden="false" customHeight="true" outlineLevel="0" collapsed="false">
      <c r="A57" s="2" t="n">
        <v>56</v>
      </c>
      <c r="B57" s="2" t="s">
        <v>317</v>
      </c>
      <c r="C57" s="2" t="s">
        <v>60</v>
      </c>
      <c r="D57" s="2" t="s">
        <v>318</v>
      </c>
      <c r="E57" s="2" t="s">
        <v>62</v>
      </c>
      <c r="F57" s="2" t="s">
        <v>319</v>
      </c>
      <c r="G57" s="2" t="s">
        <v>320</v>
      </c>
      <c r="H57" s="2"/>
      <c r="I57" s="2"/>
      <c r="J57" s="2" t="s">
        <v>321</v>
      </c>
      <c r="K57" s="4" t="s">
        <v>21</v>
      </c>
      <c r="L57" s="2" t="s">
        <v>322</v>
      </c>
      <c r="M57" s="5" t="s">
        <v>23</v>
      </c>
      <c r="N57" s="2"/>
    </row>
    <row r="58" customFormat="false" ht="60" hidden="false" customHeight="true" outlineLevel="0" collapsed="false">
      <c r="A58" s="2" t="n">
        <v>57</v>
      </c>
      <c r="B58" s="2" t="s">
        <v>323</v>
      </c>
      <c r="C58" s="2" t="s">
        <v>60</v>
      </c>
      <c r="D58" s="2" t="s">
        <v>94</v>
      </c>
      <c r="E58" s="2" t="s">
        <v>62</v>
      </c>
      <c r="F58" s="2" t="s">
        <v>324</v>
      </c>
      <c r="G58" s="2" t="s">
        <v>29</v>
      </c>
      <c r="H58" s="2"/>
      <c r="I58" s="3" t="n">
        <v>28335.81</v>
      </c>
      <c r="J58" s="2" t="s">
        <v>325</v>
      </c>
      <c r="K58" s="7" t="s">
        <v>39</v>
      </c>
      <c r="L58" s="2" t="s">
        <v>326</v>
      </c>
      <c r="M58" s="5" t="s">
        <v>23</v>
      </c>
      <c r="N58" s="2" t="s">
        <v>327</v>
      </c>
    </row>
    <row r="60" customFormat="false" ht="15" hidden="false" customHeight="false" outlineLevel="0" collapsed="false">
      <c r="A60" s="12" t="s">
        <v>328</v>
      </c>
      <c r="H60" s="13" t="n">
        <f aca="false">SUM(H2:H58)</f>
        <v>7049838.5</v>
      </c>
      <c r="I60" s="13" t="n">
        <f aca="false">SUM(I2:I58)</f>
        <v>296993859.91</v>
      </c>
    </row>
  </sheetData>
  <autoFilter ref="A1:N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56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4" t="s">
        <v>329</v>
      </c>
      <c r="B1" s="14"/>
      <c r="C1" s="14"/>
      <c r="D1" s="14"/>
      <c r="E1" s="14"/>
      <c r="F1" s="14"/>
    </row>
    <row r="3" customFormat="false" ht="31.5" hidden="false" customHeight="true" outlineLevel="0" collapsed="false">
      <c r="A3" s="1" t="s">
        <v>0</v>
      </c>
      <c r="B3" s="1" t="s">
        <v>1</v>
      </c>
      <c r="C3" s="1" t="s">
        <v>330</v>
      </c>
      <c r="D3" s="1" t="s">
        <v>331</v>
      </c>
      <c r="E3" s="1" t="s">
        <v>332</v>
      </c>
      <c r="F3" s="1" t="s">
        <v>333</v>
      </c>
    </row>
    <row r="4" customFormat="false" ht="78" hidden="false" customHeight="true" outlineLevel="0" collapsed="false">
      <c r="A4" s="15" t="n">
        <v>1</v>
      </c>
      <c r="B4" s="2" t="s">
        <v>334</v>
      </c>
      <c r="C4" s="2" t="s">
        <v>335</v>
      </c>
      <c r="D4" s="2" t="s">
        <v>336</v>
      </c>
      <c r="E4" s="2" t="s">
        <v>337</v>
      </c>
      <c r="F4" s="2" t="s">
        <v>338</v>
      </c>
    </row>
    <row r="5" customFormat="false" ht="78" hidden="false" customHeight="true" outlineLevel="0" collapsed="false">
      <c r="A5" s="15" t="n">
        <v>2</v>
      </c>
      <c r="B5" s="2" t="s">
        <v>339</v>
      </c>
      <c r="C5" s="2" t="s">
        <v>340</v>
      </c>
      <c r="D5" s="2" t="s">
        <v>73</v>
      </c>
      <c r="E5" s="2" t="s">
        <v>341</v>
      </c>
      <c r="F5" s="2" t="s">
        <v>342</v>
      </c>
    </row>
    <row r="6" customFormat="false" ht="78" hidden="false" customHeight="true" outlineLevel="0" collapsed="false">
      <c r="A6" s="15" t="n">
        <v>3</v>
      </c>
      <c r="B6" s="2" t="s">
        <v>343</v>
      </c>
      <c r="C6" s="2" t="s">
        <v>344</v>
      </c>
      <c r="D6" s="2" t="s">
        <v>345</v>
      </c>
      <c r="E6" s="2" t="s">
        <v>346</v>
      </c>
      <c r="F6" s="2" t="s">
        <v>338</v>
      </c>
    </row>
    <row r="7" customFormat="false" ht="78" hidden="false" customHeight="true" outlineLevel="0" collapsed="false">
      <c r="A7" s="15" t="n">
        <v>4</v>
      </c>
      <c r="B7" s="2" t="s">
        <v>347</v>
      </c>
      <c r="C7" s="2" t="s">
        <v>277</v>
      </c>
      <c r="D7" s="2" t="s">
        <v>348</v>
      </c>
      <c r="E7" s="2" t="s">
        <v>349</v>
      </c>
      <c r="F7" s="2" t="s">
        <v>23</v>
      </c>
    </row>
    <row r="8" customFormat="false" ht="78" hidden="false" customHeight="true" outlineLevel="0" collapsed="false">
      <c r="A8" s="15" t="n">
        <v>5</v>
      </c>
      <c r="B8" s="2" t="s">
        <v>350</v>
      </c>
      <c r="C8" s="2" t="s">
        <v>351</v>
      </c>
      <c r="D8" s="2" t="s">
        <v>352</v>
      </c>
      <c r="E8" s="2" t="s">
        <v>353</v>
      </c>
      <c r="F8" s="2" t="s">
        <v>23</v>
      </c>
    </row>
    <row r="9" customFormat="false" ht="78" hidden="false" customHeight="true" outlineLevel="0" collapsed="false">
      <c r="A9" s="15" t="n">
        <v>6</v>
      </c>
      <c r="B9" s="2" t="s">
        <v>354</v>
      </c>
      <c r="C9" s="2" t="s">
        <v>355</v>
      </c>
      <c r="D9" s="2" t="s">
        <v>356</v>
      </c>
      <c r="E9" s="2" t="s">
        <v>357</v>
      </c>
      <c r="F9" s="2" t="s">
        <v>342</v>
      </c>
    </row>
    <row r="10" customFormat="false" ht="78" hidden="false" customHeight="true" outlineLevel="0" collapsed="false">
      <c r="A10" s="15" t="n">
        <v>7</v>
      </c>
      <c r="B10" s="2" t="s">
        <v>358</v>
      </c>
      <c r="C10" s="2" t="s">
        <v>359</v>
      </c>
      <c r="D10" s="2" t="s">
        <v>360</v>
      </c>
      <c r="E10" s="2" t="s">
        <v>361</v>
      </c>
      <c r="F10" s="2" t="s">
        <v>338</v>
      </c>
    </row>
    <row r="11" customFormat="false" ht="78" hidden="false" customHeight="true" outlineLevel="0" collapsed="false">
      <c r="A11" s="15" t="n">
        <v>8</v>
      </c>
      <c r="B11" s="2" t="s">
        <v>362</v>
      </c>
      <c r="C11" s="2" t="s">
        <v>363</v>
      </c>
      <c r="D11" s="2" t="s">
        <v>364</v>
      </c>
      <c r="E11" s="2" t="s">
        <v>365</v>
      </c>
      <c r="F11" s="2" t="s">
        <v>23</v>
      </c>
    </row>
    <row r="12" customFormat="false" ht="78" hidden="false" customHeight="true" outlineLevel="0" collapsed="false">
      <c r="A12" s="15" t="n">
        <v>9</v>
      </c>
      <c r="B12" s="2" t="s">
        <v>366</v>
      </c>
      <c r="C12" s="2" t="s">
        <v>367</v>
      </c>
      <c r="D12" s="2" t="s">
        <v>368</v>
      </c>
      <c r="E12" s="2" t="s">
        <v>369</v>
      </c>
      <c r="F12" s="2" t="s">
        <v>23</v>
      </c>
    </row>
    <row r="13" customFormat="false" ht="78" hidden="false" customHeight="true" outlineLevel="0" collapsed="false">
      <c r="A13" s="15" t="n">
        <v>10</v>
      </c>
      <c r="B13" s="2" t="s">
        <v>370</v>
      </c>
      <c r="C13" s="2" t="s">
        <v>371</v>
      </c>
      <c r="D13" s="2" t="s">
        <v>372</v>
      </c>
      <c r="E13" s="2" t="s">
        <v>373</v>
      </c>
      <c r="F13" s="2" t="s">
        <v>342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4" min="3" style="0" width="44"/>
    <col collapsed="false" customWidth="true" hidden="false" outlineLevel="0" max="5" min="5" style="0" width="50"/>
  </cols>
  <sheetData>
    <row r="1" customFormat="false" ht="27.75" hidden="false" customHeight="true" outlineLevel="0" collapsed="false">
      <c r="A1" s="14" t="s">
        <v>374</v>
      </c>
      <c r="B1" s="14"/>
      <c r="C1" s="14"/>
      <c r="D1" s="14"/>
      <c r="E1" s="14"/>
    </row>
    <row r="3" customFormat="false" ht="31.5" hidden="false" customHeight="true" outlineLevel="0" collapsed="false">
      <c r="A3" s="1" t="s">
        <v>375</v>
      </c>
      <c r="B3" s="1" t="s">
        <v>376</v>
      </c>
      <c r="C3" s="1" t="s">
        <v>377</v>
      </c>
      <c r="D3" s="1" t="s">
        <v>378</v>
      </c>
      <c r="E3" s="1" t="s">
        <v>379</v>
      </c>
    </row>
    <row r="4" customFormat="false" ht="78" hidden="false" customHeight="true" outlineLevel="0" collapsed="false">
      <c r="A4" s="16" t="s">
        <v>380</v>
      </c>
      <c r="B4" s="2" t="s">
        <v>381</v>
      </c>
      <c r="C4" s="2" t="s">
        <v>382</v>
      </c>
      <c r="D4" s="2" t="s">
        <v>383</v>
      </c>
      <c r="E4" s="2" t="s">
        <v>384</v>
      </c>
    </row>
    <row r="5" customFormat="false" ht="78" hidden="false" customHeight="true" outlineLevel="0" collapsed="false">
      <c r="A5" s="16" t="s">
        <v>380</v>
      </c>
      <c r="B5" s="2" t="s">
        <v>385</v>
      </c>
      <c r="C5" s="2" t="s">
        <v>386</v>
      </c>
      <c r="D5" s="2" t="s">
        <v>387</v>
      </c>
      <c r="E5" s="2" t="s">
        <v>388</v>
      </c>
    </row>
    <row r="6" customFormat="false" ht="78" hidden="false" customHeight="true" outlineLevel="0" collapsed="false">
      <c r="A6" s="16" t="s">
        <v>380</v>
      </c>
      <c r="B6" s="2" t="s">
        <v>343</v>
      </c>
      <c r="C6" s="2" t="s">
        <v>389</v>
      </c>
      <c r="D6" s="2" t="s">
        <v>390</v>
      </c>
      <c r="E6" s="2" t="s">
        <v>391</v>
      </c>
    </row>
    <row r="7" customFormat="false" ht="78" hidden="false" customHeight="true" outlineLevel="0" collapsed="false">
      <c r="A7" s="17" t="s">
        <v>392</v>
      </c>
      <c r="B7" s="2" t="s">
        <v>393</v>
      </c>
      <c r="C7" s="2" t="s">
        <v>394</v>
      </c>
      <c r="D7" s="2" t="s">
        <v>395</v>
      </c>
      <c r="E7" s="2" t="s">
        <v>396</v>
      </c>
    </row>
    <row r="8" customFormat="false" ht="78" hidden="false" customHeight="true" outlineLevel="0" collapsed="false">
      <c r="A8" s="18" t="s">
        <v>397</v>
      </c>
      <c r="B8" s="2" t="s">
        <v>398</v>
      </c>
      <c r="C8" s="2" t="s">
        <v>399</v>
      </c>
      <c r="D8" s="2" t="s">
        <v>400</v>
      </c>
      <c r="E8" s="2" t="s">
        <v>401</v>
      </c>
    </row>
    <row r="9" customFormat="false" ht="78" hidden="false" customHeight="true" outlineLevel="0" collapsed="false">
      <c r="A9" s="18" t="s">
        <v>397</v>
      </c>
      <c r="B9" s="2" t="s">
        <v>402</v>
      </c>
      <c r="C9" s="2" t="s">
        <v>403</v>
      </c>
      <c r="D9" s="2" t="s">
        <v>404</v>
      </c>
      <c r="E9" s="2" t="s">
        <v>405</v>
      </c>
    </row>
    <row r="10" customFormat="false" ht="78" hidden="false" customHeight="true" outlineLevel="0" collapsed="false">
      <c r="A10" s="18" t="s">
        <v>397</v>
      </c>
      <c r="B10" s="2" t="s">
        <v>406</v>
      </c>
      <c r="C10" s="2" t="s">
        <v>399</v>
      </c>
      <c r="D10" s="2" t="s">
        <v>407</v>
      </c>
      <c r="E10" s="2" t="s">
        <v>408</v>
      </c>
    </row>
    <row r="11" customFormat="false" ht="78" hidden="false" customHeight="true" outlineLevel="0" collapsed="false">
      <c r="A11" s="18" t="s">
        <v>397</v>
      </c>
      <c r="B11" s="2" t="s">
        <v>409</v>
      </c>
      <c r="C11" s="2" t="s">
        <v>399</v>
      </c>
      <c r="D11" s="2" t="s">
        <v>410</v>
      </c>
      <c r="E11" s="2" t="s">
        <v>411</v>
      </c>
    </row>
    <row r="12" customFormat="false" ht="78" hidden="false" customHeight="true" outlineLevel="0" collapsed="false">
      <c r="A12" s="18" t="s">
        <v>397</v>
      </c>
      <c r="B12" s="2" t="s">
        <v>412</v>
      </c>
      <c r="C12" s="2" t="s">
        <v>413</v>
      </c>
      <c r="D12" s="2" t="s">
        <v>414</v>
      </c>
      <c r="E12" s="2" t="s">
        <v>415</v>
      </c>
    </row>
    <row r="13" customFormat="false" ht="78" hidden="false" customHeight="true" outlineLevel="0" collapsed="false">
      <c r="A13" s="18" t="s">
        <v>397</v>
      </c>
      <c r="B13" s="2" t="s">
        <v>416</v>
      </c>
      <c r="C13" s="2" t="s">
        <v>399</v>
      </c>
      <c r="D13" s="2" t="s">
        <v>417</v>
      </c>
      <c r="E13" s="2" t="s">
        <v>418</v>
      </c>
    </row>
    <row r="14" customFormat="false" ht="78" hidden="false" customHeight="true" outlineLevel="0" collapsed="false">
      <c r="A14" s="18" t="s">
        <v>397</v>
      </c>
      <c r="B14" s="2" t="s">
        <v>419</v>
      </c>
      <c r="C14" s="2" t="s">
        <v>420</v>
      </c>
      <c r="D14" s="2" t="s">
        <v>421</v>
      </c>
      <c r="E14" s="2" t="s">
        <v>422</v>
      </c>
    </row>
    <row r="15" customFormat="false" ht="78" hidden="false" customHeight="true" outlineLevel="0" collapsed="false">
      <c r="A15" s="18" t="s">
        <v>397</v>
      </c>
      <c r="B15" s="2" t="s">
        <v>423</v>
      </c>
      <c r="C15" s="2" t="s">
        <v>399</v>
      </c>
      <c r="D15" s="2" t="s">
        <v>424</v>
      </c>
      <c r="E15" s="2" t="s">
        <v>425</v>
      </c>
    </row>
    <row r="16" customFormat="false" ht="78" hidden="false" customHeight="true" outlineLevel="0" collapsed="false">
      <c r="A16" s="18" t="s">
        <v>397</v>
      </c>
      <c r="B16" s="2" t="s">
        <v>426</v>
      </c>
      <c r="C16" s="2" t="s">
        <v>399</v>
      </c>
      <c r="D16" s="2" t="s">
        <v>427</v>
      </c>
      <c r="E16" s="2" t="s">
        <v>428</v>
      </c>
    </row>
    <row r="17" customFormat="false" ht="78" hidden="false" customHeight="true" outlineLevel="0" collapsed="false">
      <c r="A17" s="18" t="s">
        <v>397</v>
      </c>
      <c r="B17" s="2" t="s">
        <v>429</v>
      </c>
      <c r="C17" s="2" t="s">
        <v>399</v>
      </c>
      <c r="D17" s="2" t="s">
        <v>430</v>
      </c>
      <c r="E17" s="2" t="s">
        <v>431</v>
      </c>
    </row>
    <row r="18" customFormat="false" ht="78" hidden="false" customHeight="true" outlineLevel="0" collapsed="false">
      <c r="A18" s="18" t="s">
        <v>397</v>
      </c>
      <c r="B18" s="2" t="s">
        <v>432</v>
      </c>
      <c r="C18" s="2" t="s">
        <v>433</v>
      </c>
      <c r="D18" s="2" t="s">
        <v>434</v>
      </c>
      <c r="E18" s="2" t="s">
        <v>435</v>
      </c>
    </row>
    <row r="19" customFormat="false" ht="78" hidden="false" customHeight="true" outlineLevel="0" collapsed="false">
      <c r="A19" s="19" t="s">
        <v>436</v>
      </c>
      <c r="B19" s="2" t="s">
        <v>437</v>
      </c>
      <c r="C19" s="2" t="s">
        <v>215</v>
      </c>
      <c r="D19" s="2" t="s">
        <v>438</v>
      </c>
      <c r="E19" s="2" t="s">
        <v>439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4" t="s">
        <v>440</v>
      </c>
      <c r="B1" s="14"/>
      <c r="C1" s="14"/>
      <c r="D1" s="14"/>
      <c r="E1" s="14"/>
    </row>
    <row r="3" customFormat="false" ht="26.85" hidden="false" customHeight="false" outlineLevel="0" collapsed="false">
      <c r="A3" s="1" t="s">
        <v>441</v>
      </c>
      <c r="B3" s="1" t="s">
        <v>442</v>
      </c>
      <c r="C3" s="1" t="s">
        <v>443</v>
      </c>
      <c r="D3" s="1" t="s">
        <v>444</v>
      </c>
      <c r="E3" s="1" t="s">
        <v>445</v>
      </c>
    </row>
    <row r="4" customFormat="false" ht="15" hidden="false" customHeight="false" outlineLevel="0" collapsed="false">
      <c r="A4" s="20" t="s">
        <v>446</v>
      </c>
      <c r="B4" s="21" t="n">
        <v>29</v>
      </c>
      <c r="C4" s="21" t="n">
        <v>9</v>
      </c>
      <c r="D4" s="21" t="n">
        <v>20</v>
      </c>
      <c r="E4" s="22" t="n">
        <v>39818086.73</v>
      </c>
    </row>
    <row r="5" customFormat="false" ht="15" hidden="false" customHeight="false" outlineLevel="0" collapsed="false">
      <c r="A5" s="20" t="s">
        <v>19</v>
      </c>
      <c r="B5" s="21" t="n">
        <v>20</v>
      </c>
      <c r="C5" s="21" t="n">
        <v>13</v>
      </c>
      <c r="D5" s="21" t="n">
        <v>7</v>
      </c>
      <c r="E5" s="22" t="n">
        <v>6875955.76</v>
      </c>
    </row>
    <row r="6" customFormat="false" ht="15" hidden="false" customHeight="false" outlineLevel="0" collapsed="false">
      <c r="A6" s="20" t="s">
        <v>29</v>
      </c>
      <c r="B6" s="21" t="n">
        <v>14</v>
      </c>
      <c r="C6" s="21" t="n">
        <v>3</v>
      </c>
      <c r="D6" s="21" t="n">
        <v>11</v>
      </c>
      <c r="E6" s="22" t="n">
        <v>1762190.94</v>
      </c>
    </row>
    <row r="7" customFormat="false" ht="15" hidden="false" customHeight="false" outlineLevel="0" collapsed="false">
      <c r="A7" s="20" t="s">
        <v>238</v>
      </c>
      <c r="B7" s="21" t="n">
        <v>3</v>
      </c>
      <c r="C7" s="21" t="n">
        <v>0</v>
      </c>
      <c r="D7" s="21" t="n">
        <v>3</v>
      </c>
      <c r="E7" s="22" t="n">
        <v>2803308.19</v>
      </c>
    </row>
    <row r="8" customFormat="false" ht="15" hidden="false" customHeight="false" outlineLevel="0" collapsed="false">
      <c r="A8" s="20" t="s">
        <v>447</v>
      </c>
      <c r="B8" s="21" t="n">
        <v>2</v>
      </c>
      <c r="C8" s="21" t="n">
        <v>0</v>
      </c>
      <c r="D8" s="21" t="n">
        <v>2</v>
      </c>
      <c r="E8" s="22" t="n">
        <v>2803308.19</v>
      </c>
    </row>
    <row r="9" customFormat="false" ht="15" hidden="false" customHeight="false" outlineLevel="0" collapsed="false">
      <c r="A9" s="20" t="s">
        <v>448</v>
      </c>
      <c r="B9" s="21" t="n">
        <v>2</v>
      </c>
      <c r="C9" s="21" t="n">
        <v>1</v>
      </c>
      <c r="D9" s="21" t="n">
        <v>1</v>
      </c>
      <c r="E9" s="22"/>
    </row>
    <row r="10" customFormat="false" ht="15" hidden="false" customHeight="false" outlineLevel="0" collapsed="false">
      <c r="A10" s="20" t="s">
        <v>449</v>
      </c>
      <c r="B10" s="21" t="n">
        <v>2</v>
      </c>
      <c r="C10" s="21" t="n">
        <v>1</v>
      </c>
      <c r="D10" s="21" t="n">
        <v>1</v>
      </c>
      <c r="E10" s="22"/>
    </row>
    <row r="11" customFormat="false" ht="15" hidden="false" customHeight="false" outlineLevel="0" collapsed="false">
      <c r="A11" s="20" t="s">
        <v>450</v>
      </c>
      <c r="B11" s="21" t="n">
        <v>2</v>
      </c>
      <c r="C11" s="21" t="n">
        <v>0</v>
      </c>
      <c r="D11" s="21" t="n">
        <v>2</v>
      </c>
      <c r="E11" s="22"/>
    </row>
    <row r="12" customFormat="false" ht="15" hidden="false" customHeight="false" outlineLevel="0" collapsed="false">
      <c r="A12" s="20" t="s">
        <v>451</v>
      </c>
      <c r="B12" s="21" t="n">
        <v>1</v>
      </c>
      <c r="C12" s="21" t="n">
        <v>0</v>
      </c>
      <c r="D12" s="21" t="n">
        <v>1</v>
      </c>
      <c r="E12" s="22" t="n">
        <v>728543.13</v>
      </c>
    </row>
    <row r="13" customFormat="false" ht="15" hidden="false" customHeight="false" outlineLevel="0" collapsed="false">
      <c r="A13" s="20" t="s">
        <v>452</v>
      </c>
      <c r="B13" s="21" t="n">
        <v>1</v>
      </c>
      <c r="C13" s="21" t="n">
        <v>0</v>
      </c>
      <c r="D13" s="21" t="n">
        <v>1</v>
      </c>
      <c r="E13" s="22" t="n">
        <v>728543.13</v>
      </c>
    </row>
    <row r="14" customFormat="false" ht="15" hidden="false" customHeight="false" outlineLevel="0" collapsed="false">
      <c r="A14" s="20" t="s">
        <v>285</v>
      </c>
      <c r="B14" s="21" t="n">
        <v>1</v>
      </c>
      <c r="C14" s="21" t="n">
        <v>0</v>
      </c>
      <c r="D14" s="21" t="n">
        <v>1</v>
      </c>
      <c r="E14" s="22" t="n">
        <v>31513.89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4" t="s">
        <v>453</v>
      </c>
      <c r="B1" s="14"/>
      <c r="C1" s="14"/>
    </row>
    <row r="3" customFormat="false" ht="15" hidden="false" customHeight="false" outlineLevel="0" collapsed="false">
      <c r="A3" s="23" t="s">
        <v>2</v>
      </c>
      <c r="B3" s="23" t="s">
        <v>454</v>
      </c>
      <c r="C3" s="23" t="s">
        <v>442</v>
      </c>
    </row>
    <row r="4" customFormat="false" ht="15" hidden="false" customHeight="false" outlineLevel="0" collapsed="false">
      <c r="A4" s="24" t="s">
        <v>60</v>
      </c>
      <c r="B4" s="25" t="s">
        <v>455</v>
      </c>
      <c r="C4" s="25" t="n">
        <v>37</v>
      </c>
    </row>
    <row r="5" customFormat="false" ht="15" hidden="false" customHeight="false" outlineLevel="0" collapsed="false">
      <c r="A5" s="24" t="s">
        <v>256</v>
      </c>
      <c r="B5" s="25" t="s">
        <v>456</v>
      </c>
      <c r="C5" s="25" t="n">
        <v>7</v>
      </c>
    </row>
    <row r="6" customFormat="false" ht="15" hidden="false" customHeight="false" outlineLevel="0" collapsed="false">
      <c r="A6" s="24" t="s">
        <v>15</v>
      </c>
      <c r="B6" s="25" t="s">
        <v>457</v>
      </c>
      <c r="C6" s="25" t="n">
        <v>6</v>
      </c>
    </row>
    <row r="7" customFormat="false" ht="15" hidden="false" customHeight="false" outlineLevel="0" collapsed="false">
      <c r="A7" s="24" t="s">
        <v>224</v>
      </c>
      <c r="B7" s="25" t="s">
        <v>458</v>
      </c>
      <c r="C7" s="25" t="n">
        <v>2</v>
      </c>
    </row>
    <row r="8" customFormat="false" ht="15" hidden="false" customHeight="false" outlineLevel="0" collapsed="false">
      <c r="A8" s="24" t="s">
        <v>249</v>
      </c>
      <c r="B8" s="25" t="s">
        <v>459</v>
      </c>
      <c r="C8" s="25" t="n">
        <v>1</v>
      </c>
    </row>
    <row r="9" customFormat="false" ht="15" hidden="false" customHeight="false" outlineLevel="0" collapsed="false">
      <c r="A9" s="24" t="s">
        <v>295</v>
      </c>
      <c r="B9" s="25" t="s">
        <v>460</v>
      </c>
      <c r="C9" s="25" t="n">
        <v>1</v>
      </c>
    </row>
    <row r="10" customFormat="false" ht="15" hidden="false" customHeight="false" outlineLevel="0" collapsed="false">
      <c r="A10" s="24" t="s">
        <v>301</v>
      </c>
      <c r="B10" s="25" t="s">
        <v>461</v>
      </c>
      <c r="C10" s="25" t="n">
        <v>1</v>
      </c>
    </row>
    <row r="11" customFormat="false" ht="15" hidden="false" customHeight="false" outlineLevel="0" collapsed="false">
      <c r="A11" s="24" t="s">
        <v>307</v>
      </c>
      <c r="B11" s="25" t="s">
        <v>462</v>
      </c>
      <c r="C11" s="25" t="n">
        <v>1</v>
      </c>
    </row>
    <row r="12" customFormat="false" ht="15" hidden="false" customHeight="false" outlineLevel="0" collapsed="false">
      <c r="A12" s="24" t="s">
        <v>312</v>
      </c>
      <c r="B12" s="25" t="s">
        <v>463</v>
      </c>
      <c r="C12" s="25" t="n">
        <v>1</v>
      </c>
    </row>
    <row r="14" customFormat="false" ht="15" hidden="false" customHeight="false" outlineLevel="0" collapsed="false">
      <c r="A14" s="12" t="s">
        <v>464</v>
      </c>
      <c r="C14" s="12" t="n">
        <f aca="false">SUM(C4:C13)</f>
        <v>57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4" t="s">
        <v>465</v>
      </c>
      <c r="B1" s="14"/>
    </row>
    <row r="3" customFormat="false" ht="24" hidden="false" customHeight="true" outlineLevel="0" collapsed="false">
      <c r="A3" s="26" t="s">
        <v>466</v>
      </c>
      <c r="B3" s="27" t="s">
        <v>467</v>
      </c>
    </row>
    <row r="4" customFormat="false" ht="24" hidden="false" customHeight="true" outlineLevel="0" collapsed="false">
      <c r="A4" s="26" t="s">
        <v>468</v>
      </c>
      <c r="B4" s="27" t="s">
        <v>469</v>
      </c>
    </row>
    <row r="5" customFormat="false" ht="24" hidden="false" customHeight="true" outlineLevel="0" collapsed="false">
      <c r="A5" s="26" t="s">
        <v>470</v>
      </c>
      <c r="B5" s="27" t="s">
        <v>471</v>
      </c>
    </row>
    <row r="6" customFormat="false" ht="24" hidden="false" customHeight="true" outlineLevel="0" collapsed="false">
      <c r="A6" s="26"/>
      <c r="B6" s="27"/>
    </row>
    <row r="7" customFormat="false" ht="24" hidden="false" customHeight="true" outlineLevel="0" collapsed="false">
      <c r="A7" s="26" t="s">
        <v>472</v>
      </c>
      <c r="B7" s="27"/>
    </row>
    <row r="8" customFormat="false" ht="24" hidden="false" customHeight="true" outlineLevel="0" collapsed="false">
      <c r="A8" s="26" t="s">
        <v>74</v>
      </c>
      <c r="B8" s="27" t="s">
        <v>473</v>
      </c>
    </row>
    <row r="9" customFormat="false" ht="24" hidden="false" customHeight="true" outlineLevel="0" collapsed="false">
      <c r="A9" s="26" t="s">
        <v>66</v>
      </c>
      <c r="B9" s="27" t="s">
        <v>474</v>
      </c>
    </row>
    <row r="10" customFormat="false" ht="24" hidden="false" customHeight="true" outlineLevel="0" collapsed="false">
      <c r="A10" s="26" t="s">
        <v>39</v>
      </c>
      <c r="B10" s="27" t="s">
        <v>475</v>
      </c>
    </row>
    <row r="11" customFormat="false" ht="24" hidden="false" customHeight="true" outlineLevel="0" collapsed="false">
      <c r="A11" s="26" t="s">
        <v>21</v>
      </c>
      <c r="B11" s="27" t="s">
        <v>476</v>
      </c>
    </row>
    <row r="12" customFormat="false" ht="24" hidden="false" customHeight="true" outlineLevel="0" collapsed="false">
      <c r="A12" s="26" t="s">
        <v>31</v>
      </c>
      <c r="B12" s="27" t="s">
        <v>477</v>
      </c>
    </row>
    <row r="13" customFormat="false" ht="24" hidden="false" customHeight="true" outlineLevel="0" collapsed="false">
      <c r="A13" s="26"/>
      <c r="B13" s="27"/>
    </row>
    <row r="14" customFormat="false" ht="24" hidden="false" customHeight="true" outlineLevel="0" collapsed="false">
      <c r="A14" s="26" t="s">
        <v>478</v>
      </c>
      <c r="B14" s="27"/>
    </row>
    <row r="15" customFormat="false" ht="24" hidden="false" customHeight="true" outlineLevel="0" collapsed="false">
      <c r="A15" s="26" t="s">
        <v>83</v>
      </c>
      <c r="B15" s="27" t="s">
        <v>479</v>
      </c>
    </row>
    <row r="16" customFormat="false" ht="24" hidden="false" customHeight="true" outlineLevel="0" collapsed="false">
      <c r="A16" s="26" t="s">
        <v>68</v>
      </c>
      <c r="B16" s="27" t="s">
        <v>480</v>
      </c>
    </row>
    <row r="17" customFormat="false" ht="24" hidden="false" customHeight="true" outlineLevel="0" collapsed="false">
      <c r="A17" s="26" t="s">
        <v>23</v>
      </c>
      <c r="B17" s="27" t="s">
        <v>481</v>
      </c>
    </row>
    <row r="18" customFormat="false" ht="24" hidden="false" customHeight="true" outlineLevel="0" collapsed="false">
      <c r="A18" s="26"/>
      <c r="B18" s="27"/>
    </row>
    <row r="19" customFormat="false" ht="24" hidden="false" customHeight="true" outlineLevel="0" collapsed="false">
      <c r="A19" s="26" t="s">
        <v>482</v>
      </c>
      <c r="B19" s="27"/>
    </row>
    <row r="20" customFormat="false" ht="24" hidden="false" customHeight="true" outlineLevel="0" collapsed="false">
      <c r="A20" s="26" t="s">
        <v>483</v>
      </c>
      <c r="B20" s="27" t="s">
        <v>484</v>
      </c>
    </row>
    <row r="21" customFormat="false" ht="24" hidden="false" customHeight="true" outlineLevel="0" collapsed="false">
      <c r="A21" s="26" t="s">
        <v>485</v>
      </c>
      <c r="B21" s="27" t="s">
        <v>486</v>
      </c>
    </row>
    <row r="22" customFormat="false" ht="24" hidden="false" customHeight="true" outlineLevel="0" collapsed="false">
      <c r="A22" s="26" t="s">
        <v>487</v>
      </c>
      <c r="B22" s="27" t="s">
        <v>488</v>
      </c>
    </row>
    <row r="23" customFormat="false" ht="24" hidden="false" customHeight="true" outlineLevel="0" collapsed="false">
      <c r="A23" s="26" t="s">
        <v>489</v>
      </c>
      <c r="B23" s="27" t="s">
        <v>490</v>
      </c>
    </row>
    <row r="24" customFormat="false" ht="24" hidden="false" customHeight="true" outlineLevel="0" collapsed="false">
      <c r="A24" s="26" t="s">
        <v>491</v>
      </c>
      <c r="B24" s="27" t="s">
        <v>492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2026-04-27T18:08:33Z</dcterms:created>
  <dc:creator>openpyxl</dc:creator>
  <dc:description/>
  <dc:language>en-US</dc:language>
  <cp:lastModifiedBy/>
  <dcterms:modified xsi:type="dcterms:W3CDTF">2026-04-27T18:08:33Z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