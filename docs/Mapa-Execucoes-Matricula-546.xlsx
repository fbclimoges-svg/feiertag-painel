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 Execuções" sheetId="1" state="visible" r:id="rId3"/>
  </sheets>
  <definedNames>
    <definedName function="false" hidden="true" localSheetId="0" name="_xlnm._FilterDatabase" vbProcedure="false">'Mapa Execuções'!$B$5:$N$42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<sst xmlns="http://schemas.openxmlformats.org/spreadsheetml/2006/main" count="333" uniqueCount="126">
  <si>
    <t xml:space="preserve">Mapa de Execuções — Ônus e Averbações da Matrícula 546 (RI Vargem Alta/ES)</t>
  </si>
  <si>
    <t xml:space="preserve">Fonte: Edital ExFis 0001136-57.2005.8.08.0002 (1ª Vara de Alegre) + API pública DataJud/CNJ · Verificação em 21/07/2026</t>
  </si>
  <si>
    <t xml:space="preserve">#</t>
  </si>
  <si>
    <t xml:space="preserve">Nº do Processo (CNJ)</t>
  </si>
  <si>
    <t xml:space="preserve">Origem no edital</t>
  </si>
  <si>
    <t xml:space="preserve">Tribunal</t>
  </si>
  <si>
    <t xml:space="preserve">Classe</t>
  </si>
  <si>
    <t xml:space="preserve">Órgão julgador</t>
  </si>
  <si>
    <t xml:space="preserve">Sistema</t>
  </si>
  <si>
    <t xml:space="preserve">Ajuizamento</t>
  </si>
  <si>
    <t xml:space="preserve">Movs.</t>
  </si>
  <si>
    <t xml:space="preserve">Última movimentação</t>
  </si>
  <si>
    <t xml:space="preserve">Data últ. mov.</t>
  </si>
  <si>
    <t xml:space="preserve">Últ. sincronização</t>
  </si>
  <si>
    <t xml:space="preserve">Situação (heurística)</t>
  </si>
  <si>
    <t xml:space="preserve">0014587-25.2005.8.08.0011</t>
  </si>
  <si>
    <t xml:space="preserve">Averbação premonitória — Fazenda Pública Cachoeiro</t>
  </si>
  <si>
    <t xml:space="preserve">TJES</t>
  </si>
  <si>
    <t xml:space="preserve">Não localizado no DataJud</t>
  </si>
  <si>
    <t xml:space="preserve">não localizado no DataJud</t>
  </si>
  <si>
    <t xml:space="preserve">0014630-59.2005.8.08.0011</t>
  </si>
  <si>
    <t xml:space="preserve">0014627-07.2005.8.08.0011</t>
  </si>
  <si>
    <t xml:space="preserve">0014639-21.2005.8.08.0011</t>
  </si>
  <si>
    <t xml:space="preserve">Execução Fiscal</t>
  </si>
  <si>
    <t xml:space="preserve">2ª VARA DA FAZENDA PÚBLICA ESTADUAL, MUNICIPAL, REGISTROS PÚBLICOS, MEIO AMBIENTE E EXECUÇÕES FISCAIS - CACHOEIRO DE ITAPEMIRIM</t>
  </si>
  <si>
    <t xml:space="preserve">Pje</t>
  </si>
  <si>
    <t xml:space="preserve">17/10/2005</t>
  </si>
  <si>
    <t xml:space="preserve">15/08/2025</t>
  </si>
  <si>
    <t xml:space="preserve">ativo/tramitando</t>
  </si>
  <si>
    <t xml:space="preserve">0029960-09.1999.8.08.0011</t>
  </si>
  <si>
    <t xml:space="preserve">11/03/1999</t>
  </si>
  <si>
    <t xml:space="preserve">0014802-98.2005.8.08.0011</t>
  </si>
  <si>
    <t xml:space="preserve">18/10/2005</t>
  </si>
  <si>
    <t xml:space="preserve">0014634-96.2005.8.08.0011</t>
  </si>
  <si>
    <t xml:space="preserve">0014691-17.2005.8.08.0011</t>
  </si>
  <si>
    <t xml:space="preserve">PJe</t>
  </si>
  <si>
    <t xml:space="preserve">Cumprimento de Levantamento da Suspensão </t>
  </si>
  <si>
    <t xml:space="preserve">17/07/2026</t>
  </si>
  <si>
    <t xml:space="preserve">20/07/2026</t>
  </si>
  <si>
    <t xml:space="preserve">0003574-29.2005.8.08.0011</t>
  </si>
  <si>
    <t xml:space="preserve">22/04/2005</t>
  </si>
  <si>
    <t xml:space="preserve">Petição</t>
  </si>
  <si>
    <t xml:space="preserve">13/07/2026</t>
  </si>
  <si>
    <t xml:space="preserve">15/07/2026</t>
  </si>
  <si>
    <t xml:space="preserve">0003577-81.2005.8.08.0011</t>
  </si>
  <si>
    <t xml:space="preserve">0003618-48.2005.8.08.0011</t>
  </si>
  <si>
    <t xml:space="preserve">Provisório</t>
  </si>
  <si>
    <t xml:space="preserve">27/03/2026</t>
  </si>
  <si>
    <t xml:space="preserve">28/03/2026</t>
  </si>
  <si>
    <t xml:space="preserve">0003578-66.2005.8.08.0011</t>
  </si>
  <si>
    <t xml:space="preserve">0003575-48.2005.8.08.0011</t>
  </si>
  <si>
    <t xml:space="preserve">0013268-56.2004.8.08.0011</t>
  </si>
  <si>
    <t xml:space="preserve">0009603-32.2004.8.08.0011</t>
  </si>
  <si>
    <t xml:space="preserve">10/09/2004</t>
  </si>
  <si>
    <t xml:space="preserve">0009571-27.2004.8.08.0011</t>
  </si>
  <si>
    <t xml:space="preserve">0010292-42.2005.8.08.0011</t>
  </si>
  <si>
    <t xml:space="preserve">04/08/2005</t>
  </si>
  <si>
    <t xml:space="preserve">13/05/2025</t>
  </si>
  <si>
    <t xml:space="preserve">0009609-39.2004.8.08.0011</t>
  </si>
  <si>
    <t xml:space="preserve">0009607-69.2004.8.08.0011</t>
  </si>
  <si>
    <t xml:space="preserve">Documento</t>
  </si>
  <si>
    <t xml:space="preserve">18/05/2026</t>
  </si>
  <si>
    <t xml:space="preserve">19/05/2026</t>
  </si>
  <si>
    <t xml:space="preserve">0900223-57.2004.8.08.0011</t>
  </si>
  <si>
    <t xml:space="preserve">27/01/2004</t>
  </si>
  <si>
    <t xml:space="preserve">0001946-39.2004.8.08.0011</t>
  </si>
  <si>
    <t xml:space="preserve">0014641-88.2005.8.08.0011</t>
  </si>
  <si>
    <t xml:space="preserve">03/07/2026</t>
  </si>
  <si>
    <t xml:space="preserve">04/07/2026</t>
  </si>
  <si>
    <t xml:space="preserve">0014589-92.2005.8.08.0011</t>
  </si>
  <si>
    <t xml:space="preserve">0014625-37.2005.8.08.0011</t>
  </si>
  <si>
    <t xml:space="preserve">06/07/2026</t>
  </si>
  <si>
    <t xml:space="preserve">07/07/2026</t>
  </si>
  <si>
    <t xml:space="preserve">0014717-15.2005.8.08.0011</t>
  </si>
  <si>
    <t xml:space="preserve">26/05/2026</t>
  </si>
  <si>
    <t xml:space="preserve">05/06/2026</t>
  </si>
  <si>
    <t xml:space="preserve">0010296-79.2005.8.08.0011</t>
  </si>
  <si>
    <t xml:space="preserve">12/11/2025</t>
  </si>
  <si>
    <t xml:space="preserve">30/12/2025</t>
  </si>
  <si>
    <t xml:space="preserve">0014644-43.2005.8.08.0011</t>
  </si>
  <si>
    <t xml:space="preserve">0010293-27.2005.8.08.0011</t>
  </si>
  <si>
    <t xml:space="preserve">14/05/2026</t>
  </si>
  <si>
    <t xml:space="preserve">15/05/2026</t>
  </si>
  <si>
    <t xml:space="preserve">0022852-45.2007.8.08.0011</t>
  </si>
  <si>
    <t xml:space="preserve">26/12/2007</t>
  </si>
  <si>
    <t xml:space="preserve">0010229-12.2008.8.08.0011</t>
  </si>
  <si>
    <t xml:space="preserve">17/07/2008</t>
  </si>
  <si>
    <t xml:space="preserve">Expedição de documento</t>
  </si>
  <si>
    <t xml:space="preserve">18/06/2026</t>
  </si>
  <si>
    <t xml:space="preserve">19/06/2026</t>
  </si>
  <si>
    <t xml:space="preserve">0031906-16.1999.8.08.0011</t>
  </si>
  <si>
    <t xml:space="preserve">0000692-21.2010.8.08.0011</t>
  </si>
  <si>
    <t xml:space="preserve">20/01/2010</t>
  </si>
  <si>
    <t xml:space="preserve">0003726-46.2005.4.02.5001</t>
  </si>
  <si>
    <t xml:space="preserve">Indisponibilidade — Justiça Federal/ES</t>
  </si>
  <si>
    <t xml:space="preserve">TRF2</t>
  </si>
  <si>
    <t xml:space="preserve">4ª Vara de Execução Fiscal de Vitória</t>
  </si>
  <si>
    <t xml:space="preserve">Projudi</t>
  </si>
  <si>
    <t xml:space="preserve">13/05/2005</t>
  </si>
  <si>
    <t xml:space="preserve">Outras Decisões</t>
  </si>
  <si>
    <t xml:space="preserve">27/01/2026</t>
  </si>
  <si>
    <t xml:space="preserve">13/06/2026</t>
  </si>
  <si>
    <t xml:space="preserve">0033443-13.1999.4.02.5002</t>
  </si>
  <si>
    <t xml:space="preserve">Indisponibilidade — 4ª VFEF Vitória</t>
  </si>
  <si>
    <t xml:space="preserve">20/07/1999</t>
  </si>
  <si>
    <t xml:space="preserve">27/02/2025</t>
  </si>
  <si>
    <t xml:space="preserve">13/03/2025</t>
  </si>
  <si>
    <t xml:space="preserve">0032128-47.1999.4.02.5002</t>
  </si>
  <si>
    <t xml:space="preserve">Indisponibilidade — 2ª VFEF Vitória</t>
  </si>
  <si>
    <t xml:space="preserve">2ª Vara de Execução Fiscal de Vitória</t>
  </si>
  <si>
    <t xml:space="preserve">13/07/1999</t>
  </si>
  <si>
    <t xml:space="preserve">24/02/2026</t>
  </si>
  <si>
    <t xml:space="preserve">0049900-85.1999.5.17.0131</t>
  </si>
  <si>
    <t xml:space="preserve">Inalienabilidade — VT Cachoeiro (00499.1999.131.17.00-2)</t>
  </si>
  <si>
    <t xml:space="preserve">TRT17</t>
  </si>
  <si>
    <t xml:space="preserve">Ação Trabalhista - Rito Ordinário</t>
  </si>
  <si>
    <t xml:space="preserve">1ª Vara do Trabalho de Cachoeiro de Itapemirim</t>
  </si>
  <si>
    <t xml:space="preserve">04/03/1999</t>
  </si>
  <si>
    <t xml:space="preserve">Decurso de Prazo</t>
  </si>
  <si>
    <t xml:space="preserve">28/01/2026</t>
  </si>
  <si>
    <t xml:space="preserve">15/03/2026</t>
  </si>
  <si>
    <t xml:space="preserve">0056900-97.2003.5.17.0131</t>
  </si>
  <si>
    <t xml:space="preserve">Inalienabilidade — VT Cachoeiro (00569.2003.131.17.00-0)</t>
  </si>
  <si>
    <t xml:space="preserve">Localizados no DataJud:</t>
  </si>
  <si>
    <t xml:space="preserve">Não localizados:</t>
  </si>
  <si>
    <t xml:space="preserve">Com movimentação em 2026: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</si>
</sst>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8251D"/>
      <name val="Calibri"/>
      <family val="0"/>
      <charset val="1"/>
    </font>
    <font>
      <sz val="9"/>
      <color rgb="FF7A797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7A7974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1696F"/>
      <name val="Calibri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169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A797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34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4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7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</row>
    <row r="6" customFormat="false" ht="23.85" hidden="false" customHeight="false" outlineLevel="0" collapsed="false">
      <c r="B6" s="4" t="n">
        <v>1</v>
      </c>
      <c r="C6" s="5" t="s">
        <v>15</v>
      </c>
      <c r="D6" s="6" t="s">
        <v>16</v>
      </c>
      <c r="E6" s="4" t="s">
        <v>17</v>
      </c>
      <c r="F6" s="5" t="s">
        <v>18</v>
      </c>
      <c r="G6" s="6"/>
      <c r="H6" s="5"/>
      <c r="I6" s="4"/>
      <c r="J6" s="4"/>
      <c r="K6" s="6"/>
      <c r="L6" s="4"/>
      <c r="M6" s="4"/>
      <c r="N6" s="6" t="s">
        <v>19</v>
      </c>
    </row>
    <row r="7" customFormat="false" ht="23.85" hidden="false" customHeight="false" outlineLevel="0" collapsed="false">
      <c r="B7" s="4" t="n">
        <v>2</v>
      </c>
      <c r="C7" s="5" t="s">
        <v>20</v>
      </c>
      <c r="D7" s="6" t="s">
        <v>16</v>
      </c>
      <c r="E7" s="4" t="s">
        <v>17</v>
      </c>
      <c r="F7" s="5" t="s">
        <v>18</v>
      </c>
      <c r="G7" s="6"/>
      <c r="H7" s="5"/>
      <c r="I7" s="4"/>
      <c r="J7" s="4"/>
      <c r="K7" s="6"/>
      <c r="L7" s="4"/>
      <c r="M7" s="4"/>
      <c r="N7" s="6" t="s">
        <v>19</v>
      </c>
    </row>
    <row r="8" customFormat="false" ht="23.85" hidden="false" customHeight="false" outlineLevel="0" collapsed="false">
      <c r="B8" s="4" t="n">
        <v>3</v>
      </c>
      <c r="C8" s="5" t="s">
        <v>21</v>
      </c>
      <c r="D8" s="6" t="s">
        <v>16</v>
      </c>
      <c r="E8" s="4" t="s">
        <v>17</v>
      </c>
      <c r="F8" s="5" t="s">
        <v>18</v>
      </c>
      <c r="G8" s="6"/>
      <c r="H8" s="5"/>
      <c r="I8" s="4"/>
      <c r="J8" s="4"/>
      <c r="K8" s="6"/>
      <c r="L8" s="4"/>
      <c r="M8" s="4"/>
      <c r="N8" s="6" t="s">
        <v>19</v>
      </c>
    </row>
    <row r="9" customFormat="false" ht="46.25" hidden="false" customHeight="false" outlineLevel="0" collapsed="false">
      <c r="B9" s="7" t="n">
        <v>4</v>
      </c>
      <c r="C9" s="8" t="s">
        <v>22</v>
      </c>
      <c r="D9" s="9" t="s">
        <v>16</v>
      </c>
      <c r="E9" s="7" t="s">
        <v>17</v>
      </c>
      <c r="F9" s="8" t="s">
        <v>23</v>
      </c>
      <c r="G9" s="9" t="s">
        <v>24</v>
      </c>
      <c r="H9" s="8" t="s">
        <v>25</v>
      </c>
      <c r="I9" s="7" t="s">
        <v>26</v>
      </c>
      <c r="J9" s="7" t="n">
        <v>0</v>
      </c>
      <c r="K9" s="9"/>
      <c r="L9" s="7"/>
      <c r="M9" s="7" t="s">
        <v>27</v>
      </c>
      <c r="N9" s="9" t="s">
        <v>28</v>
      </c>
    </row>
    <row r="10" customFormat="false" ht="46.25" hidden="false" customHeight="false" outlineLevel="0" collapsed="false">
      <c r="B10" s="7" t="n">
        <v>5</v>
      </c>
      <c r="C10" s="8" t="s">
        <v>29</v>
      </c>
      <c r="D10" s="9" t="s">
        <v>16</v>
      </c>
      <c r="E10" s="7" t="s">
        <v>17</v>
      </c>
      <c r="F10" s="8" t="s">
        <v>23</v>
      </c>
      <c r="G10" s="9" t="s">
        <v>24</v>
      </c>
      <c r="H10" s="8" t="s">
        <v>25</v>
      </c>
      <c r="I10" s="7" t="s">
        <v>30</v>
      </c>
      <c r="J10" s="7" t="n">
        <v>0</v>
      </c>
      <c r="K10" s="9"/>
      <c r="L10" s="7"/>
      <c r="M10" s="7" t="s">
        <v>27</v>
      </c>
      <c r="N10" s="9" t="s">
        <v>28</v>
      </c>
    </row>
    <row r="11" customFormat="false" ht="46.25" hidden="false" customHeight="false" outlineLevel="0" collapsed="false">
      <c r="B11" s="7" t="n">
        <v>6</v>
      </c>
      <c r="C11" s="8" t="s">
        <v>31</v>
      </c>
      <c r="D11" s="9" t="s">
        <v>16</v>
      </c>
      <c r="E11" s="7" t="s">
        <v>17</v>
      </c>
      <c r="F11" s="8" t="s">
        <v>23</v>
      </c>
      <c r="G11" s="9" t="s">
        <v>24</v>
      </c>
      <c r="H11" s="8" t="s">
        <v>25</v>
      </c>
      <c r="I11" s="7" t="s">
        <v>32</v>
      </c>
      <c r="J11" s="7" t="n">
        <v>0</v>
      </c>
      <c r="K11" s="9"/>
      <c r="L11" s="7"/>
      <c r="M11" s="7" t="s">
        <v>27</v>
      </c>
      <c r="N11" s="9" t="s">
        <v>28</v>
      </c>
    </row>
    <row r="12" customFormat="false" ht="46.25" hidden="false" customHeight="false" outlineLevel="0" collapsed="false">
      <c r="B12" s="7" t="n">
        <v>7</v>
      </c>
      <c r="C12" s="8" t="s">
        <v>33</v>
      </c>
      <c r="D12" s="9" t="s">
        <v>16</v>
      </c>
      <c r="E12" s="7" t="s">
        <v>17</v>
      </c>
      <c r="F12" s="8" t="s">
        <v>23</v>
      </c>
      <c r="G12" s="9" t="s">
        <v>24</v>
      </c>
      <c r="H12" s="8" t="s">
        <v>25</v>
      </c>
      <c r="I12" s="7" t="s">
        <v>26</v>
      </c>
      <c r="J12" s="7" t="n">
        <v>0</v>
      </c>
      <c r="K12" s="9"/>
      <c r="L12" s="7"/>
      <c r="M12" s="7" t="s">
        <v>27</v>
      </c>
      <c r="N12" s="9" t="s">
        <v>28</v>
      </c>
    </row>
    <row r="13" customFormat="false" ht="46.25" hidden="false" customHeight="false" outlineLevel="0" collapsed="false">
      <c r="B13" s="7" t="n">
        <v>8</v>
      </c>
      <c r="C13" s="8" t="s">
        <v>34</v>
      </c>
      <c r="D13" s="9" t="s">
        <v>16</v>
      </c>
      <c r="E13" s="7" t="s">
        <v>17</v>
      </c>
      <c r="F13" s="8" t="s">
        <v>23</v>
      </c>
      <c r="G13" s="9" t="s">
        <v>24</v>
      </c>
      <c r="H13" s="8" t="s">
        <v>35</v>
      </c>
      <c r="I13" s="7" t="s">
        <v>32</v>
      </c>
      <c r="J13" s="7" t="n">
        <v>184</v>
      </c>
      <c r="K13" s="9" t="s">
        <v>36</v>
      </c>
      <c r="L13" s="10" t="s">
        <v>37</v>
      </c>
      <c r="M13" s="7" t="s">
        <v>38</v>
      </c>
      <c r="N13" s="9" t="s">
        <v>28</v>
      </c>
    </row>
    <row r="14" customFormat="false" ht="46.25" hidden="false" customHeight="false" outlineLevel="0" collapsed="false">
      <c r="B14" s="7" t="n">
        <v>9</v>
      </c>
      <c r="C14" s="8" t="s">
        <v>39</v>
      </c>
      <c r="D14" s="9" t="s">
        <v>16</v>
      </c>
      <c r="E14" s="7" t="s">
        <v>17</v>
      </c>
      <c r="F14" s="8" t="s">
        <v>23</v>
      </c>
      <c r="G14" s="9" t="s">
        <v>24</v>
      </c>
      <c r="H14" s="8" t="s">
        <v>35</v>
      </c>
      <c r="I14" s="7" t="s">
        <v>40</v>
      </c>
      <c r="J14" s="7" t="n">
        <v>319</v>
      </c>
      <c r="K14" s="9" t="s">
        <v>41</v>
      </c>
      <c r="L14" s="10" t="s">
        <v>42</v>
      </c>
      <c r="M14" s="7" t="s">
        <v>43</v>
      </c>
      <c r="N14" s="9" t="s">
        <v>28</v>
      </c>
    </row>
    <row r="15" customFormat="false" ht="23.85" hidden="false" customHeight="false" outlineLevel="0" collapsed="false">
      <c r="B15" s="4" t="n">
        <v>10</v>
      </c>
      <c r="C15" s="5" t="s">
        <v>44</v>
      </c>
      <c r="D15" s="6" t="s">
        <v>16</v>
      </c>
      <c r="E15" s="4" t="s">
        <v>17</v>
      </c>
      <c r="F15" s="5" t="s">
        <v>18</v>
      </c>
      <c r="G15" s="6"/>
      <c r="H15" s="5"/>
      <c r="I15" s="4"/>
      <c r="J15" s="4"/>
      <c r="K15" s="6"/>
      <c r="L15" s="4"/>
      <c r="M15" s="4"/>
      <c r="N15" s="6" t="s">
        <v>19</v>
      </c>
    </row>
    <row r="16" customFormat="false" ht="46.25" hidden="false" customHeight="false" outlineLevel="0" collapsed="false">
      <c r="B16" s="7" t="n">
        <v>11</v>
      </c>
      <c r="C16" s="8" t="s">
        <v>45</v>
      </c>
      <c r="D16" s="9" t="s">
        <v>16</v>
      </c>
      <c r="E16" s="7" t="s">
        <v>17</v>
      </c>
      <c r="F16" s="8" t="s">
        <v>23</v>
      </c>
      <c r="G16" s="9" t="s">
        <v>24</v>
      </c>
      <c r="H16" s="8" t="s">
        <v>35</v>
      </c>
      <c r="I16" s="7" t="s">
        <v>40</v>
      </c>
      <c r="J16" s="7" t="n">
        <v>137</v>
      </c>
      <c r="K16" s="9" t="s">
        <v>46</v>
      </c>
      <c r="L16" s="10" t="s">
        <v>47</v>
      </c>
      <c r="M16" s="7" t="s">
        <v>48</v>
      </c>
      <c r="N16" s="9" t="s">
        <v>28</v>
      </c>
    </row>
    <row r="17" customFormat="false" ht="46.25" hidden="false" customHeight="false" outlineLevel="0" collapsed="false">
      <c r="B17" s="7" t="n">
        <v>12</v>
      </c>
      <c r="C17" s="8" t="s">
        <v>49</v>
      </c>
      <c r="D17" s="9" t="s">
        <v>16</v>
      </c>
      <c r="E17" s="7" t="s">
        <v>17</v>
      </c>
      <c r="F17" s="8" t="s">
        <v>23</v>
      </c>
      <c r="G17" s="9" t="s">
        <v>24</v>
      </c>
      <c r="H17" s="8" t="s">
        <v>25</v>
      </c>
      <c r="I17" s="7" t="s">
        <v>40</v>
      </c>
      <c r="J17" s="7" t="n">
        <v>0</v>
      </c>
      <c r="K17" s="9"/>
      <c r="L17" s="7"/>
      <c r="M17" s="7" t="s">
        <v>27</v>
      </c>
      <c r="N17" s="9" t="s">
        <v>28</v>
      </c>
    </row>
    <row r="18" customFormat="false" ht="23.85" hidden="false" customHeight="false" outlineLevel="0" collapsed="false">
      <c r="B18" s="4" t="n">
        <v>13</v>
      </c>
      <c r="C18" s="5" t="s">
        <v>50</v>
      </c>
      <c r="D18" s="6" t="s">
        <v>16</v>
      </c>
      <c r="E18" s="4" t="s">
        <v>17</v>
      </c>
      <c r="F18" s="5" t="s">
        <v>18</v>
      </c>
      <c r="G18" s="6"/>
      <c r="H18" s="5"/>
      <c r="I18" s="4"/>
      <c r="J18" s="4"/>
      <c r="K18" s="6"/>
      <c r="L18" s="4"/>
      <c r="M18" s="4"/>
      <c r="N18" s="6" t="s">
        <v>19</v>
      </c>
    </row>
    <row r="19" customFormat="false" ht="23.85" hidden="false" customHeight="false" outlineLevel="0" collapsed="false">
      <c r="B19" s="4" t="n">
        <v>14</v>
      </c>
      <c r="C19" s="5" t="s">
        <v>51</v>
      </c>
      <c r="D19" s="6" t="s">
        <v>16</v>
      </c>
      <c r="E19" s="4" t="s">
        <v>17</v>
      </c>
      <c r="F19" s="5" t="s">
        <v>18</v>
      </c>
      <c r="G19" s="6"/>
      <c r="H19" s="5"/>
      <c r="I19" s="4"/>
      <c r="J19" s="4"/>
      <c r="K19" s="6"/>
      <c r="L19" s="4"/>
      <c r="M19" s="4"/>
      <c r="N19" s="6" t="s">
        <v>19</v>
      </c>
    </row>
    <row r="20" customFormat="false" ht="46.25" hidden="false" customHeight="false" outlineLevel="0" collapsed="false">
      <c r="B20" s="7" t="n">
        <v>15</v>
      </c>
      <c r="C20" s="8" t="s">
        <v>52</v>
      </c>
      <c r="D20" s="9" t="s">
        <v>16</v>
      </c>
      <c r="E20" s="7" t="s">
        <v>17</v>
      </c>
      <c r="F20" s="8" t="s">
        <v>23</v>
      </c>
      <c r="G20" s="9" t="s">
        <v>24</v>
      </c>
      <c r="H20" s="8" t="s">
        <v>25</v>
      </c>
      <c r="I20" s="7" t="s">
        <v>53</v>
      </c>
      <c r="J20" s="7" t="n">
        <v>0</v>
      </c>
      <c r="K20" s="9"/>
      <c r="L20" s="7"/>
      <c r="M20" s="7" t="s">
        <v>27</v>
      </c>
      <c r="N20" s="9" t="s">
        <v>28</v>
      </c>
    </row>
    <row r="21" customFormat="false" ht="23.85" hidden="false" customHeight="false" outlineLevel="0" collapsed="false">
      <c r="B21" s="4" t="n">
        <v>16</v>
      </c>
      <c r="C21" s="5" t="s">
        <v>54</v>
      </c>
      <c r="D21" s="6" t="s">
        <v>16</v>
      </c>
      <c r="E21" s="4" t="s">
        <v>17</v>
      </c>
      <c r="F21" s="5" t="s">
        <v>18</v>
      </c>
      <c r="G21" s="6"/>
      <c r="H21" s="5"/>
      <c r="I21" s="4"/>
      <c r="J21" s="4"/>
      <c r="K21" s="6"/>
      <c r="L21" s="4"/>
      <c r="M21" s="4"/>
      <c r="N21" s="6" t="s">
        <v>19</v>
      </c>
    </row>
    <row r="22" customFormat="false" ht="46.25" hidden="false" customHeight="false" outlineLevel="0" collapsed="false">
      <c r="B22" s="7" t="n">
        <v>17</v>
      </c>
      <c r="C22" s="8" t="s">
        <v>55</v>
      </c>
      <c r="D22" s="9" t="s">
        <v>16</v>
      </c>
      <c r="E22" s="7" t="s">
        <v>17</v>
      </c>
      <c r="F22" s="8" t="s">
        <v>23</v>
      </c>
      <c r="G22" s="9" t="s">
        <v>24</v>
      </c>
      <c r="H22" s="8" t="s">
        <v>35</v>
      </c>
      <c r="I22" s="7" t="s">
        <v>56</v>
      </c>
      <c r="J22" s="7" t="n">
        <v>247</v>
      </c>
      <c r="K22" s="9" t="s">
        <v>46</v>
      </c>
      <c r="L22" s="7" t="s">
        <v>57</v>
      </c>
      <c r="M22" s="7" t="s">
        <v>27</v>
      </c>
      <c r="N22" s="9" t="s">
        <v>28</v>
      </c>
    </row>
    <row r="23" customFormat="false" ht="46.25" hidden="false" customHeight="false" outlineLevel="0" collapsed="false">
      <c r="B23" s="7" t="n">
        <v>18</v>
      </c>
      <c r="C23" s="8" t="s">
        <v>58</v>
      </c>
      <c r="D23" s="9" t="s">
        <v>16</v>
      </c>
      <c r="E23" s="7" t="s">
        <v>17</v>
      </c>
      <c r="F23" s="8" t="s">
        <v>23</v>
      </c>
      <c r="G23" s="9" t="s">
        <v>24</v>
      </c>
      <c r="H23" s="8" t="s">
        <v>25</v>
      </c>
      <c r="I23" s="7" t="s">
        <v>53</v>
      </c>
      <c r="J23" s="7" t="n">
        <v>0</v>
      </c>
      <c r="K23" s="9"/>
      <c r="L23" s="7"/>
      <c r="M23" s="7" t="s">
        <v>27</v>
      </c>
      <c r="N23" s="9" t="s">
        <v>28</v>
      </c>
    </row>
    <row r="24" customFormat="false" ht="46.25" hidden="false" customHeight="false" outlineLevel="0" collapsed="false">
      <c r="B24" s="7" t="n">
        <v>19</v>
      </c>
      <c r="C24" s="8" t="s">
        <v>59</v>
      </c>
      <c r="D24" s="9" t="s">
        <v>16</v>
      </c>
      <c r="E24" s="7" t="s">
        <v>17</v>
      </c>
      <c r="F24" s="8" t="s">
        <v>23</v>
      </c>
      <c r="G24" s="9" t="s">
        <v>24</v>
      </c>
      <c r="H24" s="8" t="s">
        <v>35</v>
      </c>
      <c r="I24" s="7" t="s">
        <v>53</v>
      </c>
      <c r="J24" s="7" t="n">
        <v>107</v>
      </c>
      <c r="K24" s="9" t="s">
        <v>60</v>
      </c>
      <c r="L24" s="10" t="s">
        <v>61</v>
      </c>
      <c r="M24" s="7" t="s">
        <v>62</v>
      </c>
      <c r="N24" s="9" t="s">
        <v>28</v>
      </c>
    </row>
    <row r="25" customFormat="false" ht="46.25" hidden="false" customHeight="false" outlineLevel="0" collapsed="false">
      <c r="B25" s="7" t="n">
        <v>20</v>
      </c>
      <c r="C25" s="8" t="s">
        <v>63</v>
      </c>
      <c r="D25" s="9" t="s">
        <v>16</v>
      </c>
      <c r="E25" s="7" t="s">
        <v>17</v>
      </c>
      <c r="F25" s="8" t="s">
        <v>23</v>
      </c>
      <c r="G25" s="9" t="s">
        <v>24</v>
      </c>
      <c r="H25" s="8" t="s">
        <v>25</v>
      </c>
      <c r="I25" s="7" t="s">
        <v>64</v>
      </c>
      <c r="J25" s="7" t="n">
        <v>0</v>
      </c>
      <c r="K25" s="9"/>
      <c r="L25" s="7"/>
      <c r="M25" s="7" t="s">
        <v>27</v>
      </c>
      <c r="N25" s="9" t="s">
        <v>28</v>
      </c>
    </row>
    <row r="26" customFormat="false" ht="23.85" hidden="false" customHeight="false" outlineLevel="0" collapsed="false">
      <c r="B26" s="4" t="n">
        <v>21</v>
      </c>
      <c r="C26" s="5" t="s">
        <v>65</v>
      </c>
      <c r="D26" s="6" t="s">
        <v>16</v>
      </c>
      <c r="E26" s="4" t="s">
        <v>17</v>
      </c>
      <c r="F26" s="5" t="s">
        <v>18</v>
      </c>
      <c r="G26" s="6"/>
      <c r="H26" s="5"/>
      <c r="I26" s="4"/>
      <c r="J26" s="4"/>
      <c r="K26" s="6"/>
      <c r="L26" s="4"/>
      <c r="M26" s="4"/>
      <c r="N26" s="6" t="s">
        <v>19</v>
      </c>
    </row>
    <row r="27" customFormat="false" ht="46.25" hidden="false" customHeight="false" outlineLevel="0" collapsed="false">
      <c r="B27" s="7" t="n">
        <v>22</v>
      </c>
      <c r="C27" s="8" t="s">
        <v>66</v>
      </c>
      <c r="D27" s="9" t="s">
        <v>16</v>
      </c>
      <c r="E27" s="7" t="s">
        <v>17</v>
      </c>
      <c r="F27" s="8" t="s">
        <v>23</v>
      </c>
      <c r="G27" s="9" t="s">
        <v>24</v>
      </c>
      <c r="H27" s="8" t="s">
        <v>35</v>
      </c>
      <c r="I27" s="7" t="s">
        <v>26</v>
      </c>
      <c r="J27" s="7" t="n">
        <v>183</v>
      </c>
      <c r="K27" s="9" t="s">
        <v>36</v>
      </c>
      <c r="L27" s="10" t="s">
        <v>67</v>
      </c>
      <c r="M27" s="7" t="s">
        <v>68</v>
      </c>
      <c r="N27" s="9" t="s">
        <v>28</v>
      </c>
    </row>
    <row r="28" customFormat="false" ht="23.85" hidden="false" customHeight="false" outlineLevel="0" collapsed="false">
      <c r="B28" s="4" t="n">
        <v>23</v>
      </c>
      <c r="C28" s="5" t="s">
        <v>69</v>
      </c>
      <c r="D28" s="6" t="s">
        <v>16</v>
      </c>
      <c r="E28" s="4" t="s">
        <v>17</v>
      </c>
      <c r="F28" s="5" t="s">
        <v>18</v>
      </c>
      <c r="G28" s="6"/>
      <c r="H28" s="5"/>
      <c r="I28" s="4"/>
      <c r="J28" s="4"/>
      <c r="K28" s="6"/>
      <c r="L28" s="4"/>
      <c r="M28" s="4"/>
      <c r="N28" s="6" t="s">
        <v>19</v>
      </c>
    </row>
    <row r="29" customFormat="false" ht="46.25" hidden="false" customHeight="false" outlineLevel="0" collapsed="false">
      <c r="B29" s="7" t="n">
        <v>24</v>
      </c>
      <c r="C29" s="8" t="s">
        <v>70</v>
      </c>
      <c r="D29" s="9" t="s">
        <v>16</v>
      </c>
      <c r="E29" s="7" t="s">
        <v>17</v>
      </c>
      <c r="F29" s="8" t="s">
        <v>23</v>
      </c>
      <c r="G29" s="9" t="s">
        <v>24</v>
      </c>
      <c r="H29" s="8" t="s">
        <v>35</v>
      </c>
      <c r="I29" s="7" t="s">
        <v>26</v>
      </c>
      <c r="J29" s="7" t="n">
        <v>149</v>
      </c>
      <c r="K29" s="9" t="s">
        <v>41</v>
      </c>
      <c r="L29" s="10" t="s">
        <v>71</v>
      </c>
      <c r="M29" s="7" t="s">
        <v>72</v>
      </c>
      <c r="N29" s="9" t="s">
        <v>28</v>
      </c>
    </row>
    <row r="30" customFormat="false" ht="46.25" hidden="false" customHeight="false" outlineLevel="0" collapsed="false">
      <c r="B30" s="7" t="n">
        <v>25</v>
      </c>
      <c r="C30" s="8" t="s">
        <v>73</v>
      </c>
      <c r="D30" s="9" t="s">
        <v>16</v>
      </c>
      <c r="E30" s="7" t="s">
        <v>17</v>
      </c>
      <c r="F30" s="8" t="s">
        <v>23</v>
      </c>
      <c r="G30" s="9" t="s">
        <v>24</v>
      </c>
      <c r="H30" s="8" t="s">
        <v>35</v>
      </c>
      <c r="I30" s="7" t="s">
        <v>32</v>
      </c>
      <c r="J30" s="7" t="n">
        <v>121</v>
      </c>
      <c r="K30" s="9" t="s">
        <v>41</v>
      </c>
      <c r="L30" s="10" t="s">
        <v>74</v>
      </c>
      <c r="M30" s="7" t="s">
        <v>75</v>
      </c>
      <c r="N30" s="9" t="s">
        <v>28</v>
      </c>
    </row>
    <row r="31" customFormat="false" ht="46.25" hidden="false" customHeight="false" outlineLevel="0" collapsed="false">
      <c r="B31" s="7" t="n">
        <v>26</v>
      </c>
      <c r="C31" s="8" t="s">
        <v>76</v>
      </c>
      <c r="D31" s="9" t="s">
        <v>16</v>
      </c>
      <c r="E31" s="7" t="s">
        <v>17</v>
      </c>
      <c r="F31" s="8" t="s">
        <v>23</v>
      </c>
      <c r="G31" s="9" t="s">
        <v>24</v>
      </c>
      <c r="H31" s="8" t="s">
        <v>35</v>
      </c>
      <c r="I31" s="7" t="s">
        <v>56</v>
      </c>
      <c r="J31" s="7" t="n">
        <v>144</v>
      </c>
      <c r="K31" s="9" t="s">
        <v>46</v>
      </c>
      <c r="L31" s="7" t="s">
        <v>77</v>
      </c>
      <c r="M31" s="7" t="s">
        <v>78</v>
      </c>
      <c r="N31" s="9" t="s">
        <v>28</v>
      </c>
    </row>
    <row r="32" customFormat="false" ht="23.85" hidden="false" customHeight="false" outlineLevel="0" collapsed="false">
      <c r="B32" s="4" t="n">
        <v>27</v>
      </c>
      <c r="C32" s="5" t="s">
        <v>79</v>
      </c>
      <c r="D32" s="6" t="s">
        <v>16</v>
      </c>
      <c r="E32" s="4" t="s">
        <v>17</v>
      </c>
      <c r="F32" s="5" t="s">
        <v>18</v>
      </c>
      <c r="G32" s="6"/>
      <c r="H32" s="5"/>
      <c r="I32" s="4"/>
      <c r="J32" s="4"/>
      <c r="K32" s="6"/>
      <c r="L32" s="4"/>
      <c r="M32" s="4"/>
      <c r="N32" s="6" t="s">
        <v>19</v>
      </c>
    </row>
    <row r="33" customFormat="false" ht="46.25" hidden="false" customHeight="false" outlineLevel="0" collapsed="false">
      <c r="B33" s="7" t="n">
        <v>28</v>
      </c>
      <c r="C33" s="8" t="s">
        <v>80</v>
      </c>
      <c r="D33" s="9" t="s">
        <v>16</v>
      </c>
      <c r="E33" s="7" t="s">
        <v>17</v>
      </c>
      <c r="F33" s="8" t="s">
        <v>23</v>
      </c>
      <c r="G33" s="9" t="s">
        <v>24</v>
      </c>
      <c r="H33" s="8" t="s">
        <v>35</v>
      </c>
      <c r="I33" s="7" t="s">
        <v>56</v>
      </c>
      <c r="J33" s="7" t="n">
        <v>257</v>
      </c>
      <c r="K33" s="9" t="s">
        <v>46</v>
      </c>
      <c r="L33" s="10" t="s">
        <v>81</v>
      </c>
      <c r="M33" s="7" t="s">
        <v>82</v>
      </c>
      <c r="N33" s="9" t="s">
        <v>28</v>
      </c>
    </row>
    <row r="34" customFormat="false" ht="46.25" hidden="false" customHeight="false" outlineLevel="0" collapsed="false">
      <c r="B34" s="7" t="n">
        <v>29</v>
      </c>
      <c r="C34" s="8" t="s">
        <v>83</v>
      </c>
      <c r="D34" s="9" t="s">
        <v>16</v>
      </c>
      <c r="E34" s="7" t="s">
        <v>17</v>
      </c>
      <c r="F34" s="8" t="s">
        <v>23</v>
      </c>
      <c r="G34" s="9" t="s">
        <v>24</v>
      </c>
      <c r="H34" s="8" t="s">
        <v>25</v>
      </c>
      <c r="I34" s="7" t="s">
        <v>84</v>
      </c>
      <c r="J34" s="7" t="n">
        <v>0</v>
      </c>
      <c r="K34" s="9"/>
      <c r="L34" s="7"/>
      <c r="M34" s="7" t="s">
        <v>27</v>
      </c>
      <c r="N34" s="9" t="s">
        <v>28</v>
      </c>
    </row>
    <row r="35" customFormat="false" ht="46.25" hidden="false" customHeight="false" outlineLevel="0" collapsed="false">
      <c r="B35" s="7" t="n">
        <v>30</v>
      </c>
      <c r="C35" s="8" t="s">
        <v>85</v>
      </c>
      <c r="D35" s="9" t="s">
        <v>16</v>
      </c>
      <c r="E35" s="7" t="s">
        <v>17</v>
      </c>
      <c r="F35" s="8" t="s">
        <v>23</v>
      </c>
      <c r="G35" s="9" t="s">
        <v>24</v>
      </c>
      <c r="H35" s="8" t="s">
        <v>35</v>
      </c>
      <c r="I35" s="7" t="s">
        <v>86</v>
      </c>
      <c r="J35" s="7" t="n">
        <v>134</v>
      </c>
      <c r="K35" s="9" t="s">
        <v>87</v>
      </c>
      <c r="L35" s="10" t="s">
        <v>88</v>
      </c>
      <c r="M35" s="7" t="s">
        <v>89</v>
      </c>
      <c r="N35" s="9" t="s">
        <v>28</v>
      </c>
    </row>
    <row r="36" customFormat="false" ht="23.85" hidden="false" customHeight="false" outlineLevel="0" collapsed="false">
      <c r="B36" s="4" t="n">
        <v>31</v>
      </c>
      <c r="C36" s="5" t="s">
        <v>90</v>
      </c>
      <c r="D36" s="6" t="s">
        <v>16</v>
      </c>
      <c r="E36" s="4" t="s">
        <v>17</v>
      </c>
      <c r="F36" s="5" t="s">
        <v>18</v>
      </c>
      <c r="G36" s="6"/>
      <c r="H36" s="5"/>
      <c r="I36" s="4"/>
      <c r="J36" s="4"/>
      <c r="K36" s="6"/>
      <c r="L36" s="4"/>
      <c r="M36" s="4"/>
      <c r="N36" s="6" t="s">
        <v>19</v>
      </c>
    </row>
    <row r="37" customFormat="false" ht="46.25" hidden="false" customHeight="false" outlineLevel="0" collapsed="false">
      <c r="B37" s="7" t="n">
        <v>32</v>
      </c>
      <c r="C37" s="8" t="s">
        <v>91</v>
      </c>
      <c r="D37" s="9" t="s">
        <v>16</v>
      </c>
      <c r="E37" s="7" t="s">
        <v>17</v>
      </c>
      <c r="F37" s="8" t="s">
        <v>23</v>
      </c>
      <c r="G37" s="9" t="s">
        <v>24</v>
      </c>
      <c r="H37" s="8" t="s">
        <v>25</v>
      </c>
      <c r="I37" s="7" t="s">
        <v>92</v>
      </c>
      <c r="J37" s="7" t="n">
        <v>0</v>
      </c>
      <c r="K37" s="9"/>
      <c r="L37" s="7"/>
      <c r="M37" s="7" t="s">
        <v>27</v>
      </c>
      <c r="N37" s="9" t="s">
        <v>28</v>
      </c>
    </row>
    <row r="38" customFormat="false" ht="15" hidden="false" customHeight="false" outlineLevel="0" collapsed="false">
      <c r="B38" s="7" t="n">
        <v>33</v>
      </c>
      <c r="C38" s="8" t="s">
        <v>93</v>
      </c>
      <c r="D38" s="9" t="s">
        <v>94</v>
      </c>
      <c r="E38" s="7" t="s">
        <v>95</v>
      </c>
      <c r="F38" s="8" t="s">
        <v>23</v>
      </c>
      <c r="G38" s="9" t="s">
        <v>96</v>
      </c>
      <c r="H38" s="8" t="s">
        <v>97</v>
      </c>
      <c r="I38" s="7" t="s">
        <v>98</v>
      </c>
      <c r="J38" s="7" t="n">
        <v>7</v>
      </c>
      <c r="K38" s="9" t="s">
        <v>99</v>
      </c>
      <c r="L38" s="10" t="s">
        <v>100</v>
      </c>
      <c r="M38" s="7" t="s">
        <v>101</v>
      </c>
      <c r="N38" s="9" t="s">
        <v>28</v>
      </c>
    </row>
    <row r="39" customFormat="false" ht="15" hidden="false" customHeight="false" outlineLevel="0" collapsed="false">
      <c r="B39" s="7" t="n">
        <v>34</v>
      </c>
      <c r="C39" s="8" t="s">
        <v>102</v>
      </c>
      <c r="D39" s="9" t="s">
        <v>103</v>
      </c>
      <c r="E39" s="7" t="s">
        <v>95</v>
      </c>
      <c r="F39" s="8" t="s">
        <v>23</v>
      </c>
      <c r="G39" s="9" t="s">
        <v>96</v>
      </c>
      <c r="H39" s="8" t="s">
        <v>97</v>
      </c>
      <c r="I39" s="7" t="s">
        <v>104</v>
      </c>
      <c r="J39" s="7" t="n">
        <v>20</v>
      </c>
      <c r="K39" s="9" t="s">
        <v>99</v>
      </c>
      <c r="L39" s="7" t="s">
        <v>105</v>
      </c>
      <c r="M39" s="7" t="s">
        <v>106</v>
      </c>
      <c r="N39" s="9" t="s">
        <v>28</v>
      </c>
    </row>
    <row r="40" customFormat="false" ht="15" hidden="false" customHeight="false" outlineLevel="0" collapsed="false">
      <c r="B40" s="7" t="n">
        <v>35</v>
      </c>
      <c r="C40" s="8" t="s">
        <v>107</v>
      </c>
      <c r="D40" s="9" t="s">
        <v>108</v>
      </c>
      <c r="E40" s="7" t="s">
        <v>95</v>
      </c>
      <c r="F40" s="8" t="s">
        <v>23</v>
      </c>
      <c r="G40" s="9" t="s">
        <v>109</v>
      </c>
      <c r="H40" s="8" t="s">
        <v>97</v>
      </c>
      <c r="I40" s="7" t="s">
        <v>110</v>
      </c>
      <c r="J40" s="7" t="n">
        <v>19</v>
      </c>
      <c r="K40" s="9" t="s">
        <v>99</v>
      </c>
      <c r="L40" s="10" t="s">
        <v>111</v>
      </c>
      <c r="M40" s="7" t="s">
        <v>101</v>
      </c>
      <c r="N40" s="9" t="s">
        <v>28</v>
      </c>
    </row>
    <row r="41" customFormat="false" ht="23.85" hidden="false" customHeight="false" outlineLevel="0" collapsed="false">
      <c r="B41" s="7" t="n">
        <v>36</v>
      </c>
      <c r="C41" s="8" t="s">
        <v>112</v>
      </c>
      <c r="D41" s="9" t="s">
        <v>113</v>
      </c>
      <c r="E41" s="7" t="s">
        <v>114</v>
      </c>
      <c r="F41" s="8" t="s">
        <v>115</v>
      </c>
      <c r="G41" s="9" t="s">
        <v>116</v>
      </c>
      <c r="H41" s="8" t="s">
        <v>35</v>
      </c>
      <c r="I41" s="7" t="s">
        <v>117</v>
      </c>
      <c r="J41" s="7" t="n">
        <v>174</v>
      </c>
      <c r="K41" s="9" t="s">
        <v>118</v>
      </c>
      <c r="L41" s="10" t="s">
        <v>119</v>
      </c>
      <c r="M41" s="7" t="s">
        <v>120</v>
      </c>
      <c r="N41" s="9" t="s">
        <v>28</v>
      </c>
    </row>
    <row r="42" customFormat="false" ht="23.85" hidden="false" customHeight="false" outlineLevel="0" collapsed="false">
      <c r="B42" s="4" t="n">
        <v>37</v>
      </c>
      <c r="C42" s="5" t="s">
        <v>121</v>
      </c>
      <c r="D42" s="6" t="s">
        <v>122</v>
      </c>
      <c r="E42" s="4" t="s">
        <v>114</v>
      </c>
      <c r="F42" s="5" t="s">
        <v>18</v>
      </c>
      <c r="G42" s="6"/>
      <c r="H42" s="5"/>
      <c r="I42" s="4"/>
      <c r="J42" s="4"/>
      <c r="K42" s="6"/>
      <c r="L42" s="4"/>
      <c r="M42" s="4"/>
      <c r="N42" s="6" t="s">
        <v>19</v>
      </c>
    </row>
    <row r="44" customFormat="false" ht="15" hidden="false" customHeight="false" outlineLevel="0" collapsed="false">
      <c r="B44" s="11" t="s">
        <v>123</v>
      </c>
      <c r="D44" s="12" t="n">
        <f aca="false">COUNTIF(F6:F42,"&lt;&gt;Não localizado no DataJud")</f>
        <v>25</v>
      </c>
    </row>
    <row r="45" customFormat="false" ht="15" hidden="false" customHeight="false" outlineLevel="0" collapsed="false">
      <c r="B45" s="11" t="s">
        <v>124</v>
      </c>
      <c r="D45" s="12" t="n">
        <f aca="false">COUNTIF(F6:F42,"Não localizado no DataJud")</f>
        <v>12</v>
      </c>
    </row>
    <row r="46" customFormat="false" ht="15" hidden="false" customHeight="false" outlineLevel="0" collapsed="false">
      <c r="B46" s="11" t="s">
        <v>125</v>
      </c>
      <c r="D46" s="12" t="n">
        <f aca="false">SUMPRODUCT(--(RIGHT(L6:L42,4)="2026"))</f>
        <v>12</v>
      </c>
    </row>
  </sheetData>
  <autoFilter ref="B5:N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2026-07-21T22:14:08Z</dcterms:created>
  <dc:creator>openpyxl</dc:creator>
  <dc:description/>
  <dc:language>en-US</dc:language>
  <cp:lastModifiedBy/>
  <dcterms:modified xsi:type="dcterms:W3CDTF">2026-07-21T22:14:08Z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